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ec920d54264685" /></Relationships>
</file>

<file path=xl/workbook.xml><?xml version="1.0" encoding="utf-8"?>
<x:workbook xmlns:x="http://schemas.openxmlformats.org/spreadsheetml/2006/main">
  <x:sheets>
    <x:sheet xmlns:r="http://schemas.openxmlformats.org/officeDocument/2006/relationships" name="Exp 1 SRSWR SRSWOR" sheetId="1" r:id="Re8abc87360124840"/>
    <x:sheet xmlns:r="http://schemas.openxmlformats.org/officeDocument/2006/relationships" name="Exp 2 SRSWOR Unbiased" sheetId="2" r:id="R90199604a8e949dd"/>
    <x:sheet xmlns:r="http://schemas.openxmlformats.org/officeDocument/2006/relationships" name="Exp 3 SRSWOR Sample Size" sheetId="3" r:id="R21fcc541945148c9"/>
    <x:sheet xmlns:r="http://schemas.openxmlformats.org/officeDocument/2006/relationships" name="Exp 4 Stratified Allocation" sheetId="4" r:id="R8b809a89356344c5"/>
    <x:sheet xmlns:r="http://schemas.openxmlformats.org/officeDocument/2006/relationships" name="Exp 5 Prop Allocation" sheetId="5" r:id="R4932f6068fa04797"/>
    <x:sheet xmlns:r="http://schemas.openxmlformats.org/officeDocument/2006/relationships" name="Exp 6 Stratification Gain" sheetId="6" r:id="R3bd0cb5e9a26402d"/>
    <x:sheet xmlns:r="http://schemas.openxmlformats.org/officeDocument/2006/relationships" name="Exp 7 Sampling Scheme Eff" sheetId="7" r:id="R9c29ef9b280741e9"/>
    <x:sheet xmlns:r="http://schemas.openxmlformats.org/officeDocument/2006/relationships" name="Exp 8 Ratio Estimator" sheetId="8" r:id="R8ff750f0e7844265"/>
    <x:sheet xmlns:r="http://schemas.openxmlformats.org/officeDocument/2006/relationships" name="Exp 9 Regression Estimator" sheetId="9" r:id="R3954c8ed8d8a4e0c"/>
    <x:sheet xmlns:r="http://schemas.openxmlformats.org/officeDocument/2006/relationships" name="Exp 10 CRD Fertilizer" sheetId="10" r:id="R68ad84f3a74045f6"/>
    <x:sheet xmlns:r="http://schemas.openxmlformats.org/officeDocument/2006/relationships" name="Exp 11 CRD Nitrogen Loss" sheetId="11" r:id="Ra43ceb3b64244dfe"/>
    <x:sheet xmlns:r="http://schemas.openxmlformats.org/officeDocument/2006/relationships" name="Exp 12 Factorial RBD Yates" sheetId="12" r:id="R1e69811574bd413d"/>
    <x:sheet xmlns:r="http://schemas.openxmlformats.org/officeDocument/2006/relationships" name="Exp 13 Two Way ANOVA Ratings" sheetId="13" r:id="R1640fe4a89e6455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
    <x:numFmt numFmtId="201" formatCode="0.000000"/>
    <x:numFmt numFmtId="202" formatCode="0.00"/>
  </x:numFmts>
  <x:fonts count="3">
    <x:font>
      <x:sz val="11"/>
      <x:name val="Carlito"/>
    </x:font>
    <x:font>
      <x:b/>
      <x:sz val="13"/>
      <x:name val="Carlito"/>
    </x:font>
    <x:font>
      <x:b/>
      <x:sz val="11"/>
      <x:name val="Carlito"/>
    </x:font>
  </x:fonts>
  <x:fills count="2">
    <x:fill>
      <x:patternFill patternType="none"/>
    </x:fill>
    <x:fill>
      <x:patternFill patternType="gray125"/>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200" fontId="2" fillId="0" borderId="0" xfId="0" applyNumberFormat="1" applyFont="1" applyFill="1" applyBorder="1"/>
    <x:xf numFmtId="200" fontId="0" fillId="0" borderId="0" xfId="0" applyNumberFormat="1" applyFont="1" applyFill="1" applyBorder="1"/>
    <x:xf numFmtId="200" fontId="2" fillId="0" borderId="1" xfId="0" applyNumberFormat="1" applyFont="1" applyFill="1" applyBorder="1"/>
    <x:xf numFmtId="200" fontId="0"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201" fontId="2" fillId="0" borderId="0" xfId="0" applyNumberFormat="1" applyFont="1" applyFill="1" applyBorder="1"/>
    <x:xf numFmtId="201" fontId="0" fillId="0" borderId="0" xfId="0" applyNumberFormat="1" applyFont="1" applyFill="1" applyBorder="1"/>
    <x:xf numFmtId="201" fontId="2" fillId="0" borderId="1"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d7f47af90b43bf" /><Relationship Type="http://schemas.openxmlformats.org/officeDocument/2006/relationships/theme" Target="/xl/theme/theme1.xml" Id="Rd003ba7ea7144b67" /><Relationship Type="http://schemas.openxmlformats.org/officeDocument/2006/relationships/sharedStrings" Target="/xl/sharedStrings.xml" Id="R015025cf7faf4331" /><Relationship Type="http://schemas.openxmlformats.org/officeDocument/2006/relationships/worksheet" Target="/xl/worksheets/sheet1.xml" Id="Re8abc87360124840" /><Relationship Type="http://schemas.openxmlformats.org/officeDocument/2006/relationships/worksheet" Target="/xl/worksheets/sheet2.xml" Id="R90199604a8e949dd" /><Relationship Type="http://schemas.openxmlformats.org/officeDocument/2006/relationships/worksheet" Target="/xl/worksheets/sheet3.xml" Id="R21fcc541945148c9" /><Relationship Type="http://schemas.openxmlformats.org/officeDocument/2006/relationships/worksheet" Target="/xl/worksheets/sheet4.xml" Id="R8b809a89356344c5" /><Relationship Type="http://schemas.openxmlformats.org/officeDocument/2006/relationships/worksheet" Target="/xl/worksheets/sheet5.xml" Id="R4932f6068fa04797" /><Relationship Type="http://schemas.openxmlformats.org/officeDocument/2006/relationships/worksheet" Target="/xl/worksheets/sheet6.xml" Id="R3bd0cb5e9a26402d" /><Relationship Type="http://schemas.openxmlformats.org/officeDocument/2006/relationships/worksheet" Target="/xl/worksheets/sheet7.xml" Id="R9c29ef9b280741e9" /><Relationship Type="http://schemas.openxmlformats.org/officeDocument/2006/relationships/worksheet" Target="/xl/worksheets/sheet8.xml" Id="R8ff750f0e7844265" /><Relationship Type="http://schemas.openxmlformats.org/officeDocument/2006/relationships/worksheet" Target="/xl/worksheets/sheet9.xml" Id="R3954c8ed8d8a4e0c" /><Relationship Type="http://schemas.openxmlformats.org/officeDocument/2006/relationships/worksheet" Target="/xl/worksheets/sheet10.xml" Id="R68ad84f3a74045f6" /><Relationship Type="http://schemas.openxmlformats.org/officeDocument/2006/relationships/worksheet" Target="/xl/worksheets/sheet11.xml" Id="Ra43ceb3b64244dfe" /><Relationship Type="http://schemas.openxmlformats.org/officeDocument/2006/relationships/worksheet" Target="/xl/worksheets/sheet12.xml" Id="R1e69811574bd413d" /><Relationship Type="http://schemas.openxmlformats.org/officeDocument/2006/relationships/worksheet" Target="/xl/worksheets/sheet13.xml" Id="R1640fe4a89e645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1 - SRSWR and SRSWOR sample mean/variance</x:v>
      </x:c>
      <x:c r="B1" s="7"/>
      <x:c r="C1" s="7"/>
      <x:c r="D1" s="7"/>
      <x:c r="E1" s="7"/>
      <x:c r="F1" s="7"/>
      <x:c r="G1" s="7"/>
      <x:c r="H1" s="7"/>
      <x:c r="I1" s="7"/>
      <x:c r="J1" s="7"/>
      <x:c r="K1" s="7"/>
      <x:c r="L1" s="7"/>
      <x:c r="M1" s="7"/>
      <x:c r="N1" s="7"/>
    </x:row>
    <x:row r="3">
      <x:c r="A3" s="4" t="str">
        <x:v>Section 1: Excel Work</x:v>
      </x:c>
    </x:row>
    <x:row r="5">
      <x:c r="A5" s="4" t="str">
        <x:v>Population observation</x:v>
      </x:c>
      <x:c r="B5" s="4" t="n">
        <x:v>1</x:v>
      </x:c>
      <x:c r="C5" s="4" t="n">
        <x:v>2</x:v>
      </x:c>
      <x:c r="D5" s="4" t="n">
        <x:v>3</x:v>
      </x:c>
      <x:c r="E5" s="4" t="n">
        <x:v>4</x:v>
      </x:c>
      <x:c r="F5" s="4" t="n">
        <x:v>5</x:v>
      </x:c>
    </x:row>
    <x:row r="6">
      <x:c r="A6" s="10" t="str">
        <x:v>Population value</x:v>
      </x:c>
      <x:c r="B6" s="10" t="n">
        <x:v>3</x:v>
      </x:c>
      <x:c r="C6" s="10" t="n">
        <x:v>4</x:v>
      </x:c>
      <x:c r="D6" s="10" t="n">
        <x:v>6</x:v>
      </x:c>
      <x:c r="E6" s="10" t="n">
        <x:v>7</x:v>
      </x:c>
      <x:c r="F6" s="10" t="n">
        <x:v>10</x:v>
      </x:c>
    </x:row>
    <x:row r="8">
      <x:c r="A8" s="4" t="str">
        <x:v>Population Calculations</x:v>
      </x:c>
      <x:c r="B8" s="11" t="str">
        <x:v>Formula/Value</x:v>
      </x:c>
      <x:c r="C8" s="12"/>
      <x:c r="D8" s="12"/>
      <x:c r="E8" s="12"/>
      <x:c r="F8" s="12"/>
      <x:c r="G8" s="12"/>
      <x:c r="H8" s="12"/>
      <x:c r="I8" s="12"/>
      <x:c r="J8" s="12"/>
    </x:row>
    <x:row r="9">
      <x:c r="A9" s="10" t="str">
        <x:v>N</x:v>
      </x:c>
      <x:c r="B9" s="12" t="n">
        <x:f>COUNT(B6:F6)</x:f>
        <x:v>5</x:v>
      </x:c>
      <x:c r="C9" s="12"/>
      <x:c r="D9" s="12"/>
      <x:c r="E9" s="12"/>
      <x:c r="F9" s="12"/>
      <x:c r="G9" s="12"/>
      <x:c r="H9" s="12"/>
      <x:c r="I9" s="12"/>
      <x:c r="J9" s="12"/>
    </x:row>
    <x:row r="10">
      <x:c r="A10" s="10" t="str">
        <x:v>Mean</x:v>
      </x:c>
      <x:c r="B10" s="12" t="n">
        <x:f>AVERAGE(B6:F6)</x:f>
        <x:v>6</x:v>
      </x:c>
      <x:c r="C10" s="12"/>
      <x:c r="D10" s="12"/>
      <x:c r="E10" s="12"/>
      <x:c r="F10" s="12"/>
      <x:c r="G10" s="12"/>
      <x:c r="H10" s="12"/>
      <x:c r="I10" s="12"/>
      <x:c r="J10" s="12"/>
    </x:row>
    <x:row r="11">
      <x:c r="A11" s="10" t="str">
        <x:v>Population variance σ²</x:v>
      </x:c>
      <x:c r="B11" s="12" t="n">
        <x:f>VAR.P(B6:F6)</x:f>
        <x:v>6</x:v>
      </x:c>
      <x:c r="C11" s="12"/>
      <x:c r="D11" s="12"/>
      <x:c r="E11" s="12"/>
      <x:c r="F11" s="12"/>
      <x:c r="G11" s="12"/>
      <x:c r="H11" s="12"/>
      <x:c r="I11" s="12"/>
      <x:c r="J11" s="12"/>
    </x:row>
    <x:row r="12">
      <x:c r="A12" s="10" t="str">
        <x:v>Population mean square S²</x:v>
      </x:c>
      <x:c r="B12" s="12" t="n">
        <x:f>VAR.S(B6:F6)</x:f>
        <x:v>7.5</x:v>
      </x:c>
      <x:c r="C12" s="12"/>
      <x:c r="D12" s="12"/>
      <x:c r="E12" s="12"/>
      <x:c r="F12" s="12"/>
      <x:c r="G12" s="12"/>
      <x:c r="H12" s="12"/>
      <x:c r="I12" s="12"/>
      <x:c r="J12" s="12"/>
    </x:row>
    <x:row r="13">
      <x:c r="B13" s="12"/>
      <x:c r="C13" s="12"/>
      <x:c r="D13" s="12"/>
      <x:c r="E13" s="12"/>
      <x:c r="F13" s="12"/>
      <x:c r="G13" s="12"/>
      <x:c r="H13" s="12"/>
      <x:c r="I13" s="12"/>
      <x:c r="J13" s="12"/>
    </x:row>
    <x:row r="14">
      <x:c r="B14" s="12"/>
      <x:c r="C14" s="12"/>
      <x:c r="D14" s="12"/>
      <x:c r="E14" s="12"/>
      <x:c r="F14" s="12"/>
      <x:c r="G14" s="12"/>
      <x:c r="H14" s="12"/>
      <x:c r="I14" s="12"/>
      <x:c r="J14" s="12"/>
    </x:row>
    <x:row r="15">
      <x:c r="A15" s="4" t="str">
        <x:v>SRSWR samples, n=2</x:v>
      </x:c>
      <x:c r="B15" s="12" t="str"/>
      <x:c r="C15" s="12" t="str"/>
      <x:c r="D15" s="12" t="str"/>
      <x:c r="E15" s="12" t="str"/>
      <x:c r="F15" s="12"/>
      <x:c r="G15" s="12"/>
      <x:c r="H15" s="12"/>
      <x:c r="I15" s="12"/>
      <x:c r="J15" s="12"/>
    </x:row>
    <x:row r="16">
      <x:c r="A16" s="4" t="str">
        <x:v>Sample No.</x:v>
      </x:c>
      <x:c r="B16" s="11" t="str">
        <x:v>x1</x:v>
      </x:c>
      <x:c r="C16" s="11" t="str">
        <x:v>x2</x:v>
      </x:c>
      <x:c r="D16" s="11" t="str">
        <x:v>Sample Mean</x:v>
      </x:c>
      <x:c r="E16" s="11" t="str">
        <x:v>Sample Variance</x:v>
      </x:c>
      <x:c r="F16" s="12"/>
      <x:c r="G16" s="12"/>
      <x:c r="H16" s="12"/>
      <x:c r="I16" s="12"/>
      <x:c r="J16" s="12"/>
    </x:row>
    <x:row r="17">
      <x:c r="A17" s="10" t="n">
        <x:v>1</x:v>
      </x:c>
      <x:c r="B17" s="12" t="n">
        <x:v>3</x:v>
      </x:c>
      <x:c r="C17" s="12" t="n">
        <x:v>3</x:v>
      </x:c>
      <x:c r="D17" s="12" t="n">
        <x:f>AVERAGE(B17:C17)</x:f>
        <x:v>3</x:v>
      </x:c>
      <x:c r="E17" s="12" t="n">
        <x:f>VAR.S(B17:C17)</x:f>
        <x:v>0</x:v>
      </x:c>
      <x:c r="F17" s="12"/>
      <x:c r="G17" s="12"/>
      <x:c r="H17" s="12"/>
      <x:c r="I17" s="12"/>
      <x:c r="J17" s="12"/>
    </x:row>
    <x:row r="18">
      <x:c r="A18" s="10" t="n">
        <x:v>2</x:v>
      </x:c>
      <x:c r="B18" s="12" t="n">
        <x:v>3</x:v>
      </x:c>
      <x:c r="C18" s="12" t="n">
        <x:v>4</x:v>
      </x:c>
      <x:c r="D18" s="12" t="n">
        <x:f>AVERAGE(B18:C18)</x:f>
        <x:v>3.5</x:v>
      </x:c>
      <x:c r="E18" s="12" t="n">
        <x:f>VAR.S(B18:C18)</x:f>
        <x:v>0.5</x:v>
      </x:c>
      <x:c r="F18" s="12"/>
      <x:c r="G18" s="12"/>
      <x:c r="H18" s="12"/>
      <x:c r="I18" s="12"/>
      <x:c r="J18" s="12"/>
    </x:row>
    <x:row r="19">
      <x:c r="A19" s="10" t="n">
        <x:v>3</x:v>
      </x:c>
      <x:c r="B19" s="12" t="n">
        <x:v>3</x:v>
      </x:c>
      <x:c r="C19" s="12" t="n">
        <x:v>6</x:v>
      </x:c>
      <x:c r="D19" s="12" t="n">
        <x:f>AVERAGE(B19:C19)</x:f>
        <x:v>4.5</x:v>
      </x:c>
      <x:c r="E19" s="12" t="n">
        <x:f>VAR.S(B19:C19)</x:f>
        <x:v>4.5</x:v>
      </x:c>
      <x:c r="F19" s="12"/>
      <x:c r="G19" s="12"/>
      <x:c r="H19" s="12"/>
      <x:c r="I19" s="12"/>
      <x:c r="J19" s="12"/>
    </x:row>
    <x:row r="20">
      <x:c r="A20" s="10" t="n">
        <x:v>4</x:v>
      </x:c>
      <x:c r="B20" s="12" t="n">
        <x:v>3</x:v>
      </x:c>
      <x:c r="C20" s="12" t="n">
        <x:v>7</x:v>
      </x:c>
      <x:c r="D20" s="12" t="n">
        <x:f>AVERAGE(B20:C20)</x:f>
        <x:v>5</x:v>
      </x:c>
      <x:c r="E20" s="12" t="n">
        <x:f>VAR.S(B20:C20)</x:f>
        <x:v>8</x:v>
      </x:c>
      <x:c r="F20" s="12"/>
      <x:c r="G20" s="12"/>
      <x:c r="H20" s="12"/>
      <x:c r="I20" s="12"/>
      <x:c r="J20" s="12"/>
    </x:row>
    <x:row r="21">
      <x:c r="A21" s="10" t="n">
        <x:v>5</x:v>
      </x:c>
      <x:c r="B21" s="12" t="n">
        <x:v>3</x:v>
      </x:c>
      <x:c r="C21" s="12" t="n">
        <x:v>10</x:v>
      </x:c>
      <x:c r="D21" s="12" t="n">
        <x:f>AVERAGE(B21:C21)</x:f>
        <x:v>6.5</x:v>
      </x:c>
      <x:c r="E21" s="12" t="n">
        <x:f>VAR.S(B21:C21)</x:f>
        <x:v>24.5</x:v>
      </x:c>
      <x:c r="F21" s="12"/>
      <x:c r="G21" s="12"/>
      <x:c r="H21" s="12"/>
      <x:c r="I21" s="12"/>
      <x:c r="J21" s="12"/>
    </x:row>
    <x:row r="22">
      <x:c r="A22" s="10" t="n">
        <x:v>6</x:v>
      </x:c>
      <x:c r="B22" s="12" t="n">
        <x:v>4</x:v>
      </x:c>
      <x:c r="C22" s="12" t="n">
        <x:v>3</x:v>
      </x:c>
      <x:c r="D22" s="12" t="n">
        <x:f>AVERAGE(B22:C22)</x:f>
        <x:v>3.5</x:v>
      </x:c>
      <x:c r="E22" s="12" t="n">
        <x:f>VAR.S(B22:C22)</x:f>
        <x:v>0.5</x:v>
      </x:c>
      <x:c r="F22" s="12"/>
      <x:c r="G22" s="12"/>
      <x:c r="H22" s="12"/>
      <x:c r="I22" s="12"/>
      <x:c r="J22" s="12"/>
    </x:row>
    <x:row r="23">
      <x:c r="A23" s="10" t="n">
        <x:v>7</x:v>
      </x:c>
      <x:c r="B23" s="12" t="n">
        <x:v>4</x:v>
      </x:c>
      <x:c r="C23" s="12" t="n">
        <x:v>4</x:v>
      </x:c>
      <x:c r="D23" s="12" t="n">
        <x:f>AVERAGE(B23:C23)</x:f>
        <x:v>4</x:v>
      </x:c>
      <x:c r="E23" s="12" t="n">
        <x:f>VAR.S(B23:C23)</x:f>
        <x:v>0</x:v>
      </x:c>
      <x:c r="F23" s="12"/>
      <x:c r="G23" s="12"/>
      <x:c r="H23" s="12"/>
      <x:c r="I23" s="12"/>
      <x:c r="J23" s="12"/>
    </x:row>
    <x:row r="24">
      <x:c r="A24" s="10" t="n">
        <x:v>8</x:v>
      </x:c>
      <x:c r="B24" s="12" t="n">
        <x:v>4</x:v>
      </x:c>
      <x:c r="C24" s="12" t="n">
        <x:v>6</x:v>
      </x:c>
      <x:c r="D24" s="12" t="n">
        <x:f>AVERAGE(B24:C24)</x:f>
        <x:v>5</x:v>
      </x:c>
      <x:c r="E24" s="12" t="n">
        <x:f>VAR.S(B24:C24)</x:f>
        <x:v>2</x:v>
      </x:c>
      <x:c r="F24" s="12"/>
      <x:c r="G24" s="12"/>
      <x:c r="H24" s="12"/>
      <x:c r="I24" s="12"/>
      <x:c r="J24" s="12"/>
    </x:row>
    <x:row r="25">
      <x:c r="A25" s="10" t="n">
        <x:v>9</x:v>
      </x:c>
      <x:c r="B25" s="12" t="n">
        <x:v>4</x:v>
      </x:c>
      <x:c r="C25" s="12" t="n">
        <x:v>7</x:v>
      </x:c>
      <x:c r="D25" s="12" t="n">
        <x:f>AVERAGE(B25:C25)</x:f>
        <x:v>5.5</x:v>
      </x:c>
      <x:c r="E25" s="12" t="n">
        <x:f>VAR.S(B25:C25)</x:f>
        <x:v>4.5</x:v>
      </x:c>
      <x:c r="F25" s="12"/>
      <x:c r="G25" s="12"/>
      <x:c r="H25" s="12"/>
      <x:c r="I25" s="12"/>
      <x:c r="J25" s="12"/>
    </x:row>
    <x:row r="26">
      <x:c r="A26" s="10" t="n">
        <x:v>10</x:v>
      </x:c>
      <x:c r="B26" s="12" t="n">
        <x:v>4</x:v>
      </x:c>
      <x:c r="C26" s="12" t="n">
        <x:v>10</x:v>
      </x:c>
      <x:c r="D26" s="12" t="n">
        <x:f>AVERAGE(B26:C26)</x:f>
        <x:v>7</x:v>
      </x:c>
      <x:c r="E26" s="12" t="n">
        <x:f>VAR.S(B26:C26)</x:f>
        <x:v>18</x:v>
      </x:c>
      <x:c r="F26" s="12"/>
      <x:c r="G26" s="12"/>
      <x:c r="H26" s="12"/>
      <x:c r="I26" s="12"/>
      <x:c r="J26" s="12"/>
    </x:row>
    <x:row r="27">
      <x:c r="A27" s="10" t="n">
        <x:v>11</x:v>
      </x:c>
      <x:c r="B27" s="12" t="n">
        <x:v>6</x:v>
      </x:c>
      <x:c r="C27" s="12" t="n">
        <x:v>3</x:v>
      </x:c>
      <x:c r="D27" s="12" t="n">
        <x:f>AVERAGE(B27:C27)</x:f>
        <x:v>4.5</x:v>
      </x:c>
      <x:c r="E27" s="12" t="n">
        <x:f>VAR.S(B27:C27)</x:f>
        <x:v>4.5</x:v>
      </x:c>
      <x:c r="F27" s="12"/>
      <x:c r="G27" s="12"/>
      <x:c r="H27" s="12"/>
      <x:c r="I27" s="12"/>
      <x:c r="J27" s="12"/>
    </x:row>
    <x:row r="28">
      <x:c r="A28" s="10" t="n">
        <x:v>12</x:v>
      </x:c>
      <x:c r="B28" s="12" t="n">
        <x:v>6</x:v>
      </x:c>
      <x:c r="C28" s="12" t="n">
        <x:v>4</x:v>
      </x:c>
      <x:c r="D28" s="12" t="n">
        <x:f>AVERAGE(B28:C28)</x:f>
        <x:v>5</x:v>
      </x:c>
      <x:c r="E28" s="12" t="n">
        <x:f>VAR.S(B28:C28)</x:f>
        <x:v>2</x:v>
      </x:c>
      <x:c r="F28" s="12"/>
      <x:c r="G28" s="12"/>
      <x:c r="H28" s="12"/>
      <x:c r="I28" s="12"/>
      <x:c r="J28" s="12"/>
    </x:row>
    <x:row r="29">
      <x:c r="A29" s="10" t="n">
        <x:v>13</x:v>
      </x:c>
      <x:c r="B29" s="12" t="n">
        <x:v>6</x:v>
      </x:c>
      <x:c r="C29" s="12" t="n">
        <x:v>6</x:v>
      </x:c>
      <x:c r="D29" s="12" t="n">
        <x:f>AVERAGE(B29:C29)</x:f>
        <x:v>6</x:v>
      </x:c>
      <x:c r="E29" s="12" t="n">
        <x:f>VAR.S(B29:C29)</x:f>
        <x:v>0</x:v>
      </x:c>
      <x:c r="F29" s="12"/>
      <x:c r="G29" s="12"/>
      <x:c r="H29" s="12"/>
      <x:c r="I29" s="12"/>
      <x:c r="J29" s="12"/>
    </x:row>
    <x:row r="30">
      <x:c r="A30" s="10" t="n">
        <x:v>14</x:v>
      </x:c>
      <x:c r="B30" s="12" t="n">
        <x:v>6</x:v>
      </x:c>
      <x:c r="C30" s="12" t="n">
        <x:v>7</x:v>
      </x:c>
      <x:c r="D30" s="12" t="n">
        <x:f>AVERAGE(B30:C30)</x:f>
        <x:v>6.5</x:v>
      </x:c>
      <x:c r="E30" s="12" t="n">
        <x:f>VAR.S(B30:C30)</x:f>
        <x:v>0.5</x:v>
      </x:c>
      <x:c r="F30" s="12"/>
      <x:c r="G30" s="12"/>
      <x:c r="H30" s="12"/>
      <x:c r="I30" s="12"/>
      <x:c r="J30" s="12"/>
    </x:row>
    <x:row r="31">
      <x:c r="A31" s="10" t="n">
        <x:v>15</x:v>
      </x:c>
      <x:c r="B31" s="12" t="n">
        <x:v>6</x:v>
      </x:c>
      <x:c r="C31" s="12" t="n">
        <x:v>10</x:v>
      </x:c>
      <x:c r="D31" s="12" t="n">
        <x:f>AVERAGE(B31:C31)</x:f>
        <x:v>8</x:v>
      </x:c>
      <x:c r="E31" s="12" t="n">
        <x:f>VAR.S(B31:C31)</x:f>
        <x:v>8</x:v>
      </x:c>
      <x:c r="F31" s="12"/>
      <x:c r="G31" s="12"/>
      <x:c r="H31" s="12"/>
      <x:c r="I31" s="12"/>
      <x:c r="J31" s="12"/>
    </x:row>
    <x:row r="32">
      <x:c r="A32" s="10" t="n">
        <x:v>16</x:v>
      </x:c>
      <x:c r="B32" s="12" t="n">
        <x:v>7</x:v>
      </x:c>
      <x:c r="C32" s="12" t="n">
        <x:v>3</x:v>
      </x:c>
      <x:c r="D32" s="12" t="n">
        <x:f>AVERAGE(B32:C32)</x:f>
        <x:v>5</x:v>
      </x:c>
      <x:c r="E32" s="12" t="n">
        <x:f>VAR.S(B32:C32)</x:f>
        <x:v>8</x:v>
      </x:c>
      <x:c r="F32" s="12"/>
      <x:c r="G32" s="12"/>
      <x:c r="H32" s="12"/>
      <x:c r="I32" s="12"/>
      <x:c r="J32" s="12"/>
    </x:row>
    <x:row r="33">
      <x:c r="A33" s="10" t="n">
        <x:v>17</x:v>
      </x:c>
      <x:c r="B33" s="12" t="n">
        <x:v>7</x:v>
      </x:c>
      <x:c r="C33" s="12" t="n">
        <x:v>4</x:v>
      </x:c>
      <x:c r="D33" s="12" t="n">
        <x:f>AVERAGE(B33:C33)</x:f>
        <x:v>5.5</x:v>
      </x:c>
      <x:c r="E33" s="12" t="n">
        <x:f>VAR.S(B33:C33)</x:f>
        <x:v>4.5</x:v>
      </x:c>
      <x:c r="F33" s="12"/>
      <x:c r="G33" s="12"/>
      <x:c r="H33" s="12"/>
      <x:c r="I33" s="12"/>
      <x:c r="J33" s="12"/>
    </x:row>
    <x:row r="34">
      <x:c r="A34" s="10" t="n">
        <x:v>18</x:v>
      </x:c>
      <x:c r="B34" s="12" t="n">
        <x:v>7</x:v>
      </x:c>
      <x:c r="C34" s="12" t="n">
        <x:v>6</x:v>
      </x:c>
      <x:c r="D34" s="12" t="n">
        <x:f>AVERAGE(B34:C34)</x:f>
        <x:v>6.5</x:v>
      </x:c>
      <x:c r="E34" s="12" t="n">
        <x:f>VAR.S(B34:C34)</x:f>
        <x:v>0.5</x:v>
      </x:c>
      <x:c r="F34" s="12"/>
      <x:c r="G34" s="12"/>
      <x:c r="H34" s="12"/>
      <x:c r="I34" s="12"/>
      <x:c r="J34" s="12"/>
    </x:row>
    <x:row r="35">
      <x:c r="A35" s="10" t="n">
        <x:v>19</x:v>
      </x:c>
      <x:c r="B35" s="12" t="n">
        <x:v>7</x:v>
      </x:c>
      <x:c r="C35" s="12" t="n">
        <x:v>7</x:v>
      </x:c>
      <x:c r="D35" s="12" t="n">
        <x:f>AVERAGE(B35:C35)</x:f>
        <x:v>7</x:v>
      </x:c>
      <x:c r="E35" s="12" t="n">
        <x:f>VAR.S(B35:C35)</x:f>
        <x:v>0</x:v>
      </x:c>
      <x:c r="F35" s="12"/>
      <x:c r="G35" s="12"/>
      <x:c r="H35" s="12"/>
      <x:c r="I35" s="12"/>
      <x:c r="J35" s="12"/>
    </x:row>
    <x:row r="36">
      <x:c r="A36" s="10" t="n">
        <x:v>20</x:v>
      </x:c>
      <x:c r="B36" s="12" t="n">
        <x:v>7</x:v>
      </x:c>
      <x:c r="C36" s="12" t="n">
        <x:v>10</x:v>
      </x:c>
      <x:c r="D36" s="12" t="n">
        <x:f>AVERAGE(B36:C36)</x:f>
        <x:v>8.5</x:v>
      </x:c>
      <x:c r="E36" s="12" t="n">
        <x:f>VAR.S(B36:C36)</x:f>
        <x:v>4.5</x:v>
      </x:c>
      <x:c r="F36" s="12"/>
      <x:c r="G36" s="12"/>
      <x:c r="H36" s="12"/>
      <x:c r="I36" s="12"/>
      <x:c r="J36" s="12"/>
    </x:row>
    <x:row r="37">
      <x:c r="A37" s="10" t="n">
        <x:v>21</x:v>
      </x:c>
      <x:c r="B37" s="12" t="n">
        <x:v>10</x:v>
      </x:c>
      <x:c r="C37" s="12" t="n">
        <x:v>3</x:v>
      </x:c>
      <x:c r="D37" s="12" t="n">
        <x:f>AVERAGE(B37:C37)</x:f>
        <x:v>6.5</x:v>
      </x:c>
      <x:c r="E37" s="12" t="n">
        <x:f>VAR.S(B37:C37)</x:f>
        <x:v>24.5</x:v>
      </x:c>
      <x:c r="F37" s="12"/>
      <x:c r="G37" s="12"/>
      <x:c r="H37" s="12"/>
      <x:c r="I37" s="12"/>
      <x:c r="J37" s="12"/>
    </x:row>
    <x:row r="38">
      <x:c r="A38" s="10" t="n">
        <x:v>22</x:v>
      </x:c>
      <x:c r="B38" s="12" t="n">
        <x:v>10</x:v>
      </x:c>
      <x:c r="C38" s="12" t="n">
        <x:v>4</x:v>
      </x:c>
      <x:c r="D38" s="12" t="n">
        <x:f>AVERAGE(B38:C38)</x:f>
        <x:v>7</x:v>
      </x:c>
      <x:c r="E38" s="12" t="n">
        <x:f>VAR.S(B38:C38)</x:f>
        <x:v>18</x:v>
      </x:c>
      <x:c r="F38" s="12"/>
      <x:c r="G38" s="12"/>
      <x:c r="H38" s="12"/>
      <x:c r="I38" s="12"/>
      <x:c r="J38" s="12"/>
    </x:row>
    <x:row r="39">
      <x:c r="A39" s="10" t="n">
        <x:v>23</x:v>
      </x:c>
      <x:c r="B39" s="12" t="n">
        <x:v>10</x:v>
      </x:c>
      <x:c r="C39" s="12" t="n">
        <x:v>6</x:v>
      </x:c>
      <x:c r="D39" s="12" t="n">
        <x:f>AVERAGE(B39:C39)</x:f>
        <x:v>8</x:v>
      </x:c>
      <x:c r="E39" s="12" t="n">
        <x:f>VAR.S(B39:C39)</x:f>
        <x:v>8</x:v>
      </x:c>
      <x:c r="F39" s="12"/>
      <x:c r="G39" s="12"/>
      <x:c r="H39" s="12"/>
      <x:c r="I39" s="12"/>
      <x:c r="J39" s="12"/>
    </x:row>
    <x:row r="40">
      <x:c r="A40" s="10" t="n">
        <x:v>24</x:v>
      </x:c>
      <x:c r="B40" s="12" t="n">
        <x:v>10</x:v>
      </x:c>
      <x:c r="C40" s="12" t="n">
        <x:v>7</x:v>
      </x:c>
      <x:c r="D40" s="12" t="n">
        <x:f>AVERAGE(B40:C40)</x:f>
        <x:v>8.5</x:v>
      </x:c>
      <x:c r="E40" s="12" t="n">
        <x:f>VAR.S(B40:C40)</x:f>
        <x:v>4.5</x:v>
      </x:c>
      <x:c r="F40" s="12"/>
      <x:c r="G40" s="12"/>
      <x:c r="H40" s="12"/>
      <x:c r="I40" s="12"/>
      <x:c r="J40" s="12"/>
    </x:row>
    <x:row r="41">
      <x:c r="A41" s="10" t="n">
        <x:v>25</x:v>
      </x:c>
      <x:c r="B41" s="12" t="n">
        <x:v>10</x:v>
      </x:c>
      <x:c r="C41" s="12" t="n">
        <x:v>10</x:v>
      </x:c>
      <x:c r="D41" s="12" t="n">
        <x:f>AVERAGE(B41:C41)</x:f>
        <x:v>10</x:v>
      </x:c>
      <x:c r="E41" s="12" t="n">
        <x:f>VAR.S(B41:C41)</x:f>
        <x:v>0</x:v>
      </x:c>
      <x:c r="F41" s="12"/>
      <x:c r="G41" s="12"/>
      <x:c r="H41" s="12"/>
      <x:c r="I41" s="12"/>
      <x:c r="J41" s="12"/>
    </x:row>
    <x:row r="42">
      <x:c r="B42" s="12"/>
      <x:c r="C42" s="12"/>
      <x:c r="D42" s="12"/>
      <x:c r="E42" s="12"/>
      <x:c r="F42" s="12"/>
      <x:c r="G42" s="12"/>
      <x:c r="H42" s="12"/>
      <x:c r="I42" s="12"/>
      <x:c r="J42" s="12"/>
    </x:row>
    <x:row r="43">
      <x:c r="A43" s="4" t="str">
        <x:v>SRSWR Summary</x:v>
      </x:c>
      <x:c r="B43" s="11" t="str">
        <x:v>Formula/Value</x:v>
      </x:c>
      <x:c r="C43" s="12"/>
      <x:c r="D43" s="12"/>
      <x:c r="E43" s="12"/>
      <x:c r="F43" s="12"/>
      <x:c r="G43" s="12"/>
      <x:c r="H43" s="12"/>
      <x:c r="I43" s="12"/>
      <x:c r="J43" s="12"/>
    </x:row>
    <x:row r="44">
      <x:c r="A44" s="10" t="str">
        <x:v>No. of samples</x:v>
      </x:c>
      <x:c r="B44" s="12" t="n">
        <x:f>COUNT(D17:D41)</x:f>
        <x:v>25</x:v>
      </x:c>
      <x:c r="C44" s="12"/>
      <x:c r="D44" s="12"/>
      <x:c r="E44" s="12"/>
      <x:c r="F44" s="12"/>
      <x:c r="G44" s="12"/>
      <x:c r="H44" s="12"/>
      <x:c r="I44" s="12"/>
      <x:c r="J44" s="12"/>
    </x:row>
    <x:row r="45">
      <x:c r="A45" s="10" t="str">
        <x:v>Average of sample means</x:v>
      </x:c>
      <x:c r="B45" s="12" t="n">
        <x:f>AVERAGE(D17:D41)</x:f>
        <x:v>6</x:v>
      </x:c>
      <x:c r="C45" s="12"/>
      <x:c r="D45" s="12"/>
      <x:c r="E45" s="12"/>
      <x:c r="F45" s="12"/>
      <x:c r="G45" s="12"/>
      <x:c r="H45" s="12"/>
      <x:c r="I45" s="12"/>
      <x:c r="J45" s="12"/>
    </x:row>
    <x:row r="46">
      <x:c r="A46" s="10" t="str">
        <x:v>Sampling variance of sample means</x:v>
      </x:c>
      <x:c r="B46" s="12" t="n">
        <x:f>VAR.P(D17:D41)</x:f>
        <x:v>3</x:v>
      </x:c>
      <x:c r="C46" s="12"/>
      <x:c r="D46" s="12"/>
      <x:c r="E46" s="12"/>
      <x:c r="F46" s="12"/>
      <x:c r="G46" s="12"/>
      <x:c r="H46" s="12"/>
      <x:c r="I46" s="12"/>
      <x:c r="J46" s="12"/>
    </x:row>
    <x:row r="47">
      <x:c r="A47" s="10" t="str">
        <x:v>Average sample variance</x:v>
      </x:c>
      <x:c r="B47" s="12" t="n">
        <x:f>AVERAGE(E17:E41)</x:f>
        <x:v>6</x:v>
      </x:c>
      <x:c r="C47" s="12"/>
      <x:c r="D47" s="12"/>
      <x:c r="E47" s="12"/>
      <x:c r="F47" s="12"/>
      <x:c r="G47" s="12"/>
      <x:c r="H47" s="12"/>
      <x:c r="I47" s="12"/>
      <x:c r="J47" s="12"/>
    </x:row>
    <x:row r="48">
      <x:c r="A48" s="10" t="str">
        <x:v>Theoretical V(ybar)=σ²/n</x:v>
      </x:c>
      <x:c r="B48" s="12" t="n">
        <x:f>B11/2</x:f>
        <x:v>3</x:v>
      </x:c>
      <x:c r="C48" s="12"/>
      <x:c r="D48" s="12"/>
      <x:c r="E48" s="12"/>
      <x:c r="F48" s="12"/>
      <x:c r="G48" s="12"/>
      <x:c r="H48" s="12"/>
      <x:c r="I48" s="12"/>
      <x:c r="J48" s="12"/>
    </x:row>
    <x:row r="49">
      <x:c r="B49" s="12"/>
      <x:c r="C49" s="12"/>
      <x:c r="D49" s="12"/>
      <x:c r="E49" s="12"/>
      <x:c r="F49" s="12"/>
      <x:c r="G49" s="12"/>
      <x:c r="H49" s="12"/>
      <x:c r="I49" s="12"/>
      <x:c r="J49" s="12"/>
    </x:row>
    <x:row r="50">
      <x:c r="B50" s="12"/>
      <x:c r="C50" s="12"/>
      <x:c r="D50" s="12"/>
      <x:c r="E50" s="12"/>
      <x:c r="F50" s="12"/>
      <x:c r="G50" s="12"/>
      <x:c r="H50" s="12"/>
      <x:c r="I50" s="12"/>
      <x:c r="J50" s="12"/>
    </x:row>
    <x:row r="51">
      <x:c r="A51" s="4" t="str">
        <x:v>SRSWOR samples, n=2</x:v>
      </x:c>
      <x:c r="B51" s="12"/>
      <x:c r="C51" s="12"/>
      <x:c r="D51" s="12"/>
      <x:c r="E51" s="12"/>
      <x:c r="F51" s="12"/>
      <x:c r="G51" s="12"/>
      <x:c r="H51" s="12"/>
      <x:c r="I51" s="12"/>
      <x:c r="J51" s="12"/>
    </x:row>
    <x:row r="52">
      <x:c r="A52" s="4" t="str">
        <x:v>Sample No.</x:v>
      </x:c>
      <x:c r="B52" s="11" t="str">
        <x:v>x1</x:v>
      </x:c>
      <x:c r="C52" s="11" t="str">
        <x:v>x2</x:v>
      </x:c>
      <x:c r="D52" s="11" t="str">
        <x:v>Sample Mean</x:v>
      </x:c>
      <x:c r="E52" s="11" t="str">
        <x:v>Sample Variance</x:v>
      </x:c>
      <x:c r="F52" s="12"/>
      <x:c r="G52" s="11" t="str">
        <x:v>SRSWOR n=2 Summary</x:v>
      </x:c>
      <x:c r="H52" s="11" t="str">
        <x:v>Formula/Value</x:v>
      </x:c>
      <x:c r="I52" s="12"/>
      <x:c r="J52" s="12"/>
    </x:row>
    <x:row r="53">
      <x:c r="A53" s="10" t="n">
        <x:v>1</x:v>
      </x:c>
      <x:c r="B53" s="12" t="n">
        <x:v>3</x:v>
      </x:c>
      <x:c r="C53" s="12" t="n">
        <x:v>4</x:v>
      </x:c>
      <x:c r="D53" s="12" t="n">
        <x:f>AVERAGE(B53:C53)</x:f>
        <x:v>3.5</x:v>
      </x:c>
      <x:c r="E53" s="12" t="n">
        <x:f>VAR.S(B53:C53)</x:f>
        <x:v>0.5</x:v>
      </x:c>
      <x:c r="F53" s="12"/>
      <x:c r="G53" s="12" t="str">
        <x:v>No. of samples</x:v>
      </x:c>
      <x:c r="H53" s="12" t="n">
        <x:f>COUNT(D53:D62)</x:f>
        <x:v>10</x:v>
      </x:c>
      <x:c r="I53" s="12"/>
      <x:c r="J53" s="12"/>
    </x:row>
    <x:row r="54">
      <x:c r="A54" s="10" t="n">
        <x:v>2</x:v>
      </x:c>
      <x:c r="B54" s="12" t="n">
        <x:v>3</x:v>
      </x:c>
      <x:c r="C54" s="12" t="n">
        <x:v>6</x:v>
      </x:c>
      <x:c r="D54" s="12" t="n">
        <x:f>AVERAGE(B54:C54)</x:f>
        <x:v>4.5</x:v>
      </x:c>
      <x:c r="E54" s="12" t="n">
        <x:f>VAR.S(B54:C54)</x:f>
        <x:v>4.5</x:v>
      </x:c>
      <x:c r="F54" s="12"/>
      <x:c r="G54" s="12" t="str">
        <x:v>Average sample mean</x:v>
      </x:c>
      <x:c r="H54" s="12" t="n">
        <x:f>AVERAGE(D53:D62)</x:f>
        <x:v>6</x:v>
      </x:c>
      <x:c r="I54" s="12"/>
      <x:c r="J54" s="12"/>
    </x:row>
    <x:row r="55">
      <x:c r="A55" s="10" t="n">
        <x:v>3</x:v>
      </x:c>
      <x:c r="B55" s="12" t="n">
        <x:v>3</x:v>
      </x:c>
      <x:c r="C55" s="12" t="n">
        <x:v>7</x:v>
      </x:c>
      <x:c r="D55" s="12" t="n">
        <x:f>AVERAGE(B55:C55)</x:f>
        <x:v>5</x:v>
      </x:c>
      <x:c r="E55" s="12" t="n">
        <x:f>VAR.S(B55:C55)</x:f>
        <x:v>8</x:v>
      </x:c>
      <x:c r="F55" s="12"/>
      <x:c r="G55" s="12" t="str">
        <x:v>Sampling variance</x:v>
      </x:c>
      <x:c r="H55" s="12" t="n">
        <x:f>VAR.P(D53:D62)</x:f>
        <x:v>2.25</x:v>
      </x:c>
      <x:c r="I55" s="12"/>
      <x:c r="J55" s="12"/>
    </x:row>
    <x:row r="56">
      <x:c r="A56" s="10" t="n">
        <x:v>4</x:v>
      </x:c>
      <x:c r="B56" s="12" t="n">
        <x:v>3</x:v>
      </x:c>
      <x:c r="C56" s="12" t="n">
        <x:v>10</x:v>
      </x:c>
      <x:c r="D56" s="12" t="n">
        <x:f>AVERAGE(B56:C56)</x:f>
        <x:v>6.5</x:v>
      </x:c>
      <x:c r="E56" s="12" t="n">
        <x:f>VAR.S(B56:C56)</x:f>
        <x:v>24.5</x:v>
      </x:c>
      <x:c r="F56" s="12"/>
      <x:c r="G56" s="12" t="str">
        <x:v>Average sample variance</x:v>
      </x:c>
      <x:c r="H56" s="12" t="n">
        <x:f>AVERAGE(E53:E62)</x:f>
        <x:v>7.5</x:v>
      </x:c>
      <x:c r="I56" s="12"/>
      <x:c r="J56" s="12"/>
    </x:row>
    <x:row r="57">
      <x:c r="A57" s="10" t="n">
        <x:v>5</x:v>
      </x:c>
      <x:c r="B57" s="12" t="n">
        <x:v>4</x:v>
      </x:c>
      <x:c r="C57" s="12" t="n">
        <x:v>6</x:v>
      </x:c>
      <x:c r="D57" s="12" t="n">
        <x:f>AVERAGE(B57:C57)</x:f>
        <x:v>5</x:v>
      </x:c>
      <x:c r="E57" s="12" t="n">
        <x:f>VAR.S(B57:C57)</x:f>
        <x:v>2</x:v>
      </x:c>
      <x:c r="F57" s="12"/>
      <x:c r="G57" s="12" t="str">
        <x:v>Theoretical V(ybar)=(1/n-1/N)S²</x:v>
      </x:c>
      <x:c r="H57" s="12" t="n">
        <x:f>(1/2-1/B9)*B12</x:f>
        <x:v>2.25</x:v>
      </x:c>
      <x:c r="I57" s="12"/>
      <x:c r="J57" s="12"/>
    </x:row>
    <x:row r="58">
      <x:c r="A58" s="10" t="n">
        <x:v>6</x:v>
      </x:c>
      <x:c r="B58" s="12" t="n">
        <x:v>4</x:v>
      </x:c>
      <x:c r="C58" s="12" t="n">
        <x:v>7</x:v>
      </x:c>
      <x:c r="D58" s="12" t="n">
        <x:f>AVERAGE(B58:C58)</x:f>
        <x:v>5.5</x:v>
      </x:c>
      <x:c r="E58" s="12" t="n">
        <x:f>VAR.S(B58:C58)</x:f>
        <x:v>4.5</x:v>
      </x:c>
      <x:c r="F58" s="12"/>
      <x:c r="G58" s="12"/>
      <x:c r="H58" s="12"/>
      <x:c r="I58" s="12"/>
      <x:c r="J58" s="12"/>
    </x:row>
    <x:row r="59">
      <x:c r="A59" s="10" t="n">
        <x:v>7</x:v>
      </x:c>
      <x:c r="B59" s="12" t="n">
        <x:v>4</x:v>
      </x:c>
      <x:c r="C59" s="12" t="n">
        <x:v>10</x:v>
      </x:c>
      <x:c r="D59" s="12" t="n">
        <x:f>AVERAGE(B59:C59)</x:f>
        <x:v>7</x:v>
      </x:c>
      <x:c r="E59" s="12" t="n">
        <x:f>VAR.S(B59:C59)</x:f>
        <x:v>18</x:v>
      </x:c>
      <x:c r="F59" s="12"/>
      <x:c r="G59" s="12"/>
      <x:c r="H59" s="12"/>
      <x:c r="I59" s="12"/>
      <x:c r="J59" s="12"/>
    </x:row>
    <x:row r="60">
      <x:c r="A60" s="10" t="n">
        <x:v>8</x:v>
      </x:c>
      <x:c r="B60" s="12" t="n">
        <x:v>6</x:v>
      </x:c>
      <x:c r="C60" s="12" t="n">
        <x:v>7</x:v>
      </x:c>
      <x:c r="D60" s="12" t="n">
        <x:f>AVERAGE(B60:C60)</x:f>
        <x:v>6.5</x:v>
      </x:c>
      <x:c r="E60" s="12" t="n">
        <x:f>VAR.S(B60:C60)</x:f>
        <x:v>0.5</x:v>
      </x:c>
      <x:c r="F60" s="12"/>
      <x:c r="G60" s="12"/>
      <x:c r="H60" s="12"/>
      <x:c r="I60" s="12"/>
      <x:c r="J60" s="12"/>
    </x:row>
    <x:row r="61">
      <x:c r="A61" s="10" t="n">
        <x:v>9</x:v>
      </x:c>
      <x:c r="B61" s="12" t="n">
        <x:v>6</x:v>
      </x:c>
      <x:c r="C61" s="12" t="n">
        <x:v>10</x:v>
      </x:c>
      <x:c r="D61" s="12" t="n">
        <x:f>AVERAGE(B61:C61)</x:f>
        <x:v>8</x:v>
      </x:c>
      <x:c r="E61" s="12" t="n">
        <x:f>VAR.S(B61:C61)</x:f>
        <x:v>8</x:v>
      </x:c>
      <x:c r="F61" s="12"/>
      <x:c r="G61" s="12"/>
      <x:c r="H61" s="12"/>
      <x:c r="I61" s="12"/>
      <x:c r="J61" s="12"/>
    </x:row>
    <x:row r="62">
      <x:c r="A62" s="10" t="n">
        <x:v>10</x:v>
      </x:c>
      <x:c r="B62" s="12" t="n">
        <x:v>7</x:v>
      </x:c>
      <x:c r="C62" s="12" t="n">
        <x:v>10</x:v>
      </x:c>
      <x:c r="D62" s="12" t="n">
        <x:f>AVERAGE(B62:C62)</x:f>
        <x:v>8.5</x:v>
      </x:c>
      <x:c r="E62" s="12" t="n">
        <x:f>VAR.S(B62:C62)</x:f>
        <x:v>4.5</x:v>
      </x:c>
      <x:c r="F62" s="12"/>
      <x:c r="G62" s="12"/>
      <x:c r="H62" s="12"/>
      <x:c r="I62" s="12"/>
      <x:c r="J62" s="12"/>
    </x:row>
    <x:row r="63">
      <x:c r="B63" s="12"/>
      <x:c r="C63" s="12"/>
      <x:c r="D63" s="12"/>
      <x:c r="E63" s="12"/>
      <x:c r="F63" s="12"/>
      <x:c r="G63" s="12"/>
      <x:c r="H63" s="12"/>
      <x:c r="I63" s="12"/>
      <x:c r="J63" s="12"/>
    </x:row>
    <x:row r="64">
      <x:c r="B64" s="12"/>
      <x:c r="C64" s="12"/>
      <x:c r="D64" s="12"/>
      <x:c r="E64" s="12"/>
      <x:c r="F64" s="12"/>
      <x:c r="G64" s="12"/>
      <x:c r="H64" s="12"/>
      <x:c r="I64" s="12"/>
      <x:c r="J64" s="12"/>
    </x:row>
    <x:row r="65">
      <x:c r="B65" s="12"/>
      <x:c r="C65" s="12"/>
      <x:c r="D65" s="12"/>
      <x:c r="E65" s="12"/>
      <x:c r="F65" s="12"/>
      <x:c r="G65" s="12"/>
      <x:c r="H65" s="12"/>
      <x:c r="I65" s="12"/>
      <x:c r="J65" s="12"/>
    </x:row>
    <x:row r="66">
      <x:c r="A66" s="4" t="str">
        <x:v>SRSWOR samples, n=4</x:v>
      </x:c>
      <x:c r="B66" s="12"/>
      <x:c r="C66" s="12"/>
      <x:c r="D66" s="12"/>
      <x:c r="E66" s="12"/>
      <x:c r="F66" s="12"/>
      <x:c r="G66" s="12"/>
      <x:c r="H66" s="12"/>
      <x:c r="I66" s="12"/>
      <x:c r="J66" s="12"/>
    </x:row>
    <x:row r="67">
      <x:c r="A67" s="4" t="str">
        <x:v>Sample No.</x:v>
      </x:c>
      <x:c r="B67" s="11" t="str">
        <x:v>x1</x:v>
      </x:c>
      <x:c r="C67" s="11" t="str">
        <x:v>x2</x:v>
      </x:c>
      <x:c r="D67" s="11" t="str">
        <x:v>x3</x:v>
      </x:c>
      <x:c r="E67" s="11" t="str">
        <x:v>x4</x:v>
      </x:c>
      <x:c r="F67" s="11" t="str">
        <x:v>Sample Mean</x:v>
      </x:c>
      <x:c r="G67" s="11" t="str">
        <x:v>Sample Variance</x:v>
      </x:c>
      <x:c r="H67" s="12"/>
      <x:c r="I67" s="11" t="str">
        <x:v>SRSWOR n=4 Summary</x:v>
      </x:c>
      <x:c r="J67" s="11" t="str">
        <x:v>Formula/Value</x:v>
      </x:c>
    </x:row>
    <x:row r="68">
      <x:c r="A68" s="10" t="n">
        <x:v>1</x:v>
      </x:c>
      <x:c r="B68" s="12" t="n">
        <x:v>3</x:v>
      </x:c>
      <x:c r="C68" s="12" t="n">
        <x:v>4</x:v>
      </x:c>
      <x:c r="D68" s="12" t="n">
        <x:v>6</x:v>
      </x:c>
      <x:c r="E68" s="12" t="n">
        <x:v>7</x:v>
      </x:c>
      <x:c r="F68" s="12" t="n">
        <x:f>AVERAGE(B68:E68)</x:f>
        <x:v>5</x:v>
      </x:c>
      <x:c r="G68" s="12" t="n">
        <x:f>VAR.S(B68:E68)</x:f>
        <x:v>3.3333333333333335</x:v>
      </x:c>
      <x:c r="H68" s="12"/>
      <x:c r="I68" s="12" t="str">
        <x:v>No. of samples</x:v>
      </x:c>
      <x:c r="J68" s="12" t="n">
        <x:f>COUNT(F68:F72)</x:f>
        <x:v>5</x:v>
      </x:c>
    </x:row>
    <x:row r="69">
      <x:c r="A69" s="10" t="n">
        <x:v>2</x:v>
      </x:c>
      <x:c r="B69" s="12" t="n">
        <x:v>3</x:v>
      </x:c>
      <x:c r="C69" s="12" t="n">
        <x:v>4</x:v>
      </x:c>
      <x:c r="D69" s="12" t="n">
        <x:v>6</x:v>
      </x:c>
      <x:c r="E69" s="12" t="n">
        <x:v>10</x:v>
      </x:c>
      <x:c r="F69" s="12" t="n">
        <x:f>AVERAGE(B69:E69)</x:f>
        <x:v>5.75</x:v>
      </x:c>
      <x:c r="G69" s="12" t="n">
        <x:f>VAR.S(B69:E69)</x:f>
        <x:v>9.583333333333334</x:v>
      </x:c>
      <x:c r="H69" s="12"/>
      <x:c r="I69" s="12" t="str">
        <x:v>Average sample mean</x:v>
      </x:c>
      <x:c r="J69" s="12" t="n">
        <x:f>AVERAGE(F68:F72)</x:f>
        <x:v>6</x:v>
      </x:c>
    </x:row>
    <x:row r="70">
      <x:c r="A70" s="10" t="n">
        <x:v>3</x:v>
      </x:c>
      <x:c r="B70" s="12" t="n">
        <x:v>3</x:v>
      </x:c>
      <x:c r="C70" s="12" t="n">
        <x:v>4</x:v>
      </x:c>
      <x:c r="D70" s="12" t="n">
        <x:v>7</x:v>
      </x:c>
      <x:c r="E70" s="12" t="n">
        <x:v>10</x:v>
      </x:c>
      <x:c r="F70" s="12" t="n">
        <x:f>AVERAGE(B70:E70)</x:f>
        <x:v>6</x:v>
      </x:c>
      <x:c r="G70" s="12" t="n">
        <x:f>VAR.S(B70:E70)</x:f>
        <x:v>10</x:v>
      </x:c>
      <x:c r="H70" s="12"/>
      <x:c r="I70" s="12" t="str">
        <x:v>Sampling variance</x:v>
      </x:c>
      <x:c r="J70" s="12" t="n">
        <x:f>VAR.P(F68:F72)</x:f>
        <x:v>0.375</x:v>
      </x:c>
    </x:row>
    <x:row r="71">
      <x:c r="A71" s="10" t="n">
        <x:v>4</x:v>
      </x:c>
      <x:c r="B71" s="12" t="n">
        <x:v>3</x:v>
      </x:c>
      <x:c r="C71" s="12" t="n">
        <x:v>6</x:v>
      </x:c>
      <x:c r="D71" s="12" t="n">
        <x:v>7</x:v>
      </x:c>
      <x:c r="E71" s="12" t="n">
        <x:v>10</x:v>
      </x:c>
      <x:c r="F71" s="12" t="n">
        <x:f>AVERAGE(B71:E71)</x:f>
        <x:v>6.5</x:v>
      </x:c>
      <x:c r="G71" s="12" t="n">
        <x:f>VAR.S(B71:E71)</x:f>
        <x:v>8.333333333333334</x:v>
      </x:c>
      <x:c r="H71" s="12"/>
      <x:c r="I71" s="12" t="str">
        <x:v>Average sample variance</x:v>
      </x:c>
      <x:c r="J71" s="12" t="n">
        <x:f>AVERAGE(G68:G72)</x:f>
        <x:v>7.5</x:v>
      </x:c>
    </x:row>
    <x:row r="72">
      <x:c r="A72" s="10" t="n">
        <x:v>5</x:v>
      </x:c>
      <x:c r="B72" s="12" t="n">
        <x:v>4</x:v>
      </x:c>
      <x:c r="C72" s="12" t="n">
        <x:v>6</x:v>
      </x:c>
      <x:c r="D72" s="12" t="n">
        <x:v>7</x:v>
      </x:c>
      <x:c r="E72" s="12" t="n">
        <x:v>10</x:v>
      </x:c>
      <x:c r="F72" s="12" t="n">
        <x:f>AVERAGE(B72:E72)</x:f>
        <x:v>6.75</x:v>
      </x:c>
      <x:c r="G72" s="12" t="n">
        <x:f>VAR.S(B72:E72)</x:f>
        <x:v>6.25</x:v>
      </x:c>
      <x:c r="H72" s="12"/>
      <x:c r="I72" s="12" t="str">
        <x:v>Theoretical V(ybar)=(1/n-1/N)S²</x:v>
      </x:c>
      <x:c r="J72" s="12" t="n">
        <x:f>(1/4-1/B9)*B12</x:f>
        <x:v>0.3749999999999999</x:v>
      </x:c>
    </x:row>
    <x:row r="73">
      <x:c r="B73" s="12"/>
      <x:c r="C73" s="12"/>
      <x:c r="D73" s="12"/>
      <x:c r="E73" s="12"/>
      <x:c r="F73" s="12"/>
      <x:c r="G73" s="12"/>
      <x:c r="H73" s="12"/>
      <x:c r="I73" s="12"/>
      <x:c r="J73" s="12"/>
    </x:row>
    <x:row r="76">
      <x:c r="A76" s="15" t="str">
        <x:v>Section 2: Written Practical Content</x:v>
      </x:c>
      <x:c r="B76" s="7"/>
      <x:c r="C76" s="7"/>
      <x:c r="D76" s="7"/>
      <x:c r="E76" s="7"/>
      <x:c r="F76" s="7"/>
      <x:c r="G76" s="7"/>
      <x:c r="H76" s="7"/>
      <x:c r="I76" s="7"/>
      <x:c r="J76" s="7"/>
    </x:row>
    <x:row r="77">
      <x:c r="A77" s="7"/>
      <x:c r="B77" s="7"/>
      <x:c r="C77" s="7"/>
      <x:c r="D77" s="7"/>
      <x:c r="E77" s="7"/>
      <x:c r="F77" s="7"/>
      <x:c r="G77" s="7"/>
      <x:c r="H77" s="7"/>
      <x:c r="I77" s="7"/>
      <x:c r="J77" s="7"/>
    </x:row>
    <x:row r="78">
      <x:c r="A78" s="15" t="str">
        <x:v>Aim</x:v>
      </x:c>
      <x:c r="B78" s="7" t="str">
        <x:v>To draw random samples by SRSWR and SRSWOR and verify unbiasedness of sample mean and sample variance.</x:v>
      </x:c>
      <x:c r="C78" s="7"/>
      <x:c r="D78" s="7"/>
      <x:c r="E78" s="7"/>
      <x:c r="F78" s="7"/>
      <x:c r="G78" s="7"/>
      <x:c r="H78" s="7"/>
      <x:c r="I78" s="7"/>
      <x:c r="J78" s="7"/>
    </x:row>
    <x:row r="79">
      <x:c r="A79" s="7"/>
      <x:c r="B79" s="7"/>
      <x:c r="C79" s="7"/>
      <x:c r="D79" s="7"/>
      <x:c r="E79" s="7"/>
      <x:c r="F79" s="7"/>
      <x:c r="G79" s="7"/>
      <x:c r="H79" s="7"/>
      <x:c r="I79" s="7"/>
      <x:c r="J79" s="7"/>
    </x:row>
    <x:row r="80">
      <x:c r="A80" s="15" t="str">
        <x:v>Experiment</x:v>
      </x:c>
      <x:c r="B80" s="7" t="str">
        <x:v>Population values are 3, 4, 6, 7 and 10. All possible samples are drawn for SRSWR n=2, SRSWOR n=2 and SRSWOR n=4.</x:v>
      </x:c>
      <x:c r="C80" s="7"/>
      <x:c r="D80" s="7"/>
      <x:c r="E80" s="7"/>
      <x:c r="F80" s="7"/>
      <x:c r="G80" s="7"/>
      <x:c r="H80" s="7"/>
      <x:c r="I80" s="7"/>
      <x:c r="J80" s="7"/>
    </x:row>
    <x:row r="81">
      <x:c r="A81" s="7"/>
      <x:c r="B81" s="7"/>
      <x:c r="C81" s="7"/>
      <x:c r="D81" s="7"/>
      <x:c r="E81" s="7"/>
      <x:c r="F81" s="7"/>
      <x:c r="G81" s="7"/>
      <x:c r="H81" s="7"/>
      <x:c r="I81" s="7"/>
      <x:c r="J81" s="7"/>
    </x:row>
    <x:row r="82">
      <x:c r="A82" s="15" t="str">
        <x:v>Theory &amp; Formula</x:v>
      </x:c>
      <x:c r="B82" s="7" t="str">
        <x:v>Population mean = AVERAGE(data), population variance σ² = VAR.P(data), population mean square S² = VAR.S(data). For SRSWOR, V(ybar) = (1/n - 1/N)S².</x:v>
      </x:c>
      <x:c r="C82" s="7"/>
      <x:c r="D82" s="7"/>
      <x:c r="E82" s="7"/>
      <x:c r="F82" s="7"/>
      <x:c r="G82" s="7"/>
      <x:c r="H82" s="7"/>
      <x:c r="I82" s="7"/>
      <x:c r="J82" s="7"/>
    </x:row>
    <x:row r="83">
      <x:c r="A83" s="7"/>
      <x:c r="B83" s="7"/>
      <x:c r="C83" s="7"/>
      <x:c r="D83" s="7"/>
      <x:c r="E83" s="7"/>
      <x:c r="F83" s="7"/>
      <x:c r="G83" s="7"/>
      <x:c r="H83" s="7"/>
      <x:c r="I83" s="7"/>
      <x:c r="J83" s="7"/>
    </x:row>
    <x:row r="84">
      <x:c r="A84" s="15" t="str">
        <x:v>Calculation Steps</x:v>
      </x:c>
      <x:c r="B84" s="7" t="str">
        <x:v>Enter population values in row 6. Create all possible samples. Use =AVERAGE(sample range) for each sample mean and =VAR.S(sample range) for each sample variance. Compare the average of sample means with population mean and average sample variance with S².</x:v>
      </x:c>
      <x:c r="C84" s="7"/>
      <x:c r="D84" s="7"/>
      <x:c r="E84" s="7"/>
      <x:c r="F84" s="7"/>
      <x:c r="G84" s="7"/>
      <x:c r="H84" s="7"/>
      <x:c r="I84" s="7"/>
      <x:c r="J84" s="7"/>
    </x:row>
    <x:row r="85">
      <x:c r="A85" s="7"/>
      <x:c r="B85" s="7"/>
      <x:c r="C85" s="7"/>
      <x:c r="D85" s="7"/>
      <x:c r="E85" s="7"/>
      <x:c r="F85" s="7"/>
      <x:c r="G85" s="7"/>
      <x:c r="H85" s="7"/>
      <x:c r="I85" s="7"/>
      <x:c r="J85" s="7"/>
    </x:row>
    <x:row r="86">
      <x:c r="A86" s="15" t="str">
        <x:v>Result</x:v>
      </x:c>
      <x:c r="B86" s="7" t="str">
        <x:v>The formula cells in the summary tables verify that the sample mean estimates the population mean and sample variance estimates the population mean square.</x:v>
      </x:c>
      <x:c r="C86" s="7"/>
      <x:c r="D86" s="7"/>
      <x:c r="E86" s="7"/>
      <x:c r="F86" s="7"/>
      <x:c r="G86" s="7"/>
      <x:c r="H86" s="7"/>
      <x:c r="I86" s="7"/>
      <x:c r="J86" s="7"/>
    </x:row>
    <x:row r="87">
      <x:c r="A87" s="7"/>
      <x:c r="B87" s="7"/>
      <x:c r="C87" s="7"/>
      <x:c r="D87" s="7"/>
      <x:c r="E87" s="7"/>
      <x:c r="F87" s="7"/>
      <x:c r="G87" s="7"/>
      <x:c r="H87" s="7"/>
      <x:c r="I87" s="7"/>
      <x:c r="J87" s="7"/>
    </x:row>
    <x:row r="88">
      <x:c r="A88" s="15" t="str">
        <x:v>Conclusion</x:v>
      </x:c>
      <x:c r="B88" s="7" t="str">
        <x:v>SRSWR and SRSWOR results are obtained using formulas and the theoretical variance formulas agree with the sample tables.</x:v>
      </x:c>
      <x:c r="C88" s="7"/>
      <x:c r="D88" s="7"/>
      <x:c r="E88" s="7"/>
      <x:c r="F88" s="7"/>
      <x:c r="G88" s="7"/>
      <x:c r="H88" s="7"/>
      <x:c r="I88" s="7"/>
      <x:c r="J88" s="7"/>
    </x:row>
    <x:row r="89">
      <x:c r="A89" s="7"/>
      <x:c r="B89" s="7"/>
      <x:c r="C89" s="7"/>
      <x:c r="D89" s="7"/>
      <x:c r="E89" s="7"/>
      <x:c r="F89" s="7"/>
      <x:c r="G89" s="7"/>
      <x:c r="H89" s="7"/>
      <x:c r="I89" s="7"/>
      <x:c r="J89" s="7"/>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2 - SRSWOR unbiased estimation</x:v>
      </x:c>
      <x:c r="B1" s="7"/>
      <x:c r="C1" s="7"/>
      <x:c r="D1" s="7"/>
      <x:c r="E1" s="7"/>
      <x:c r="F1" s="7"/>
      <x:c r="G1" s="7"/>
      <x:c r="H1" s="7"/>
      <x:c r="I1" s="7"/>
      <x:c r="J1" s="7"/>
      <x:c r="K1" s="7"/>
      <x:c r="L1" s="7"/>
      <x:c r="M1" s="7"/>
      <x:c r="N1" s="7"/>
    </x:row>
    <x:row r="3">
      <x:c r="A3" s="4" t="str">
        <x:v>Section 1: Excel Work</x:v>
      </x:c>
    </x:row>
    <x:row r="5">
      <x:c r="A5" s="4" t="str">
        <x:v>Population observation</x:v>
      </x:c>
      <x:c r="B5" s="4" t="n">
        <x:v>1</x:v>
      </x:c>
      <x:c r="C5" s="4" t="n">
        <x:v>2</x:v>
      </x:c>
      <x:c r="D5" s="4" t="n">
        <x:v>3</x:v>
      </x:c>
      <x:c r="E5" s="4" t="n">
        <x:v>4</x:v>
      </x:c>
      <x:c r="F5" s="4" t="n">
        <x:v>5</x:v>
      </x:c>
      <x:c r="G5" s="4" t="n">
        <x:v>6</x:v>
      </x:c>
    </x:row>
    <x:row r="6">
      <x:c r="A6" s="10" t="str">
        <x:v>Population value</x:v>
      </x:c>
      <x:c r="B6" s="10" t="n">
        <x:v>1</x:v>
      </x:c>
      <x:c r="C6" s="10" t="n">
        <x:v>2</x:v>
      </x:c>
      <x:c r="D6" s="10" t="n">
        <x:v>4</x:v>
      </x:c>
      <x:c r="E6" s="10" t="n">
        <x:v>7</x:v>
      </x:c>
      <x:c r="F6" s="10" t="n">
        <x:v>11</x:v>
      </x:c>
      <x:c r="G6" s="10" t="n">
        <x:v>16</x:v>
      </x:c>
    </x:row>
    <x:row r="8">
      <x:c r="A8" s="4" t="str">
        <x:v>Population Calculations</x:v>
      </x:c>
      <x:c r="B8" s="11" t="str">
        <x:v>Formula/Value</x:v>
      </x:c>
      <x:c r="C8" s="12"/>
      <x:c r="D8" s="12"/>
      <x:c r="E8" s="12"/>
      <x:c r="F8" s="12"/>
      <x:c r="G8" s="12"/>
      <x:c r="H8" s="12"/>
      <x:c r="I8" s="12"/>
    </x:row>
    <x:row r="9">
      <x:c r="A9" s="10" t="str">
        <x:v>N</x:v>
      </x:c>
      <x:c r="B9" s="12" t="n">
        <x:f>COUNT(B6:G6)</x:f>
        <x:v>6</x:v>
      </x:c>
      <x:c r="C9" s="12"/>
      <x:c r="D9" s="12"/>
      <x:c r="E9" s="12"/>
      <x:c r="F9" s="12"/>
      <x:c r="G9" s="12"/>
      <x:c r="H9" s="12"/>
      <x:c r="I9" s="12"/>
    </x:row>
    <x:row r="10">
      <x:c r="A10" s="10" t="str">
        <x:v>n</x:v>
      </x:c>
      <x:c r="B10" s="12" t="n">
        <x:v>3</x:v>
      </x:c>
      <x:c r="C10" s="12"/>
      <x:c r="D10" s="12"/>
      <x:c r="E10" s="12"/>
      <x:c r="F10" s="12"/>
      <x:c r="G10" s="12"/>
      <x:c r="H10" s="12"/>
      <x:c r="I10" s="12"/>
    </x:row>
    <x:row r="11">
      <x:c r="A11" s="10" t="str">
        <x:v>Mean</x:v>
      </x:c>
      <x:c r="B11" s="12" t="n">
        <x:f>AVERAGE(B6:G6)</x:f>
        <x:v>6.833333333333333</x:v>
      </x:c>
      <x:c r="C11" s="12"/>
      <x:c r="D11" s="12"/>
      <x:c r="E11" s="12"/>
      <x:c r="F11" s="12"/>
      <x:c r="G11" s="12"/>
      <x:c r="H11" s="12"/>
      <x:c r="I11" s="12"/>
    </x:row>
    <x:row r="12">
      <x:c r="A12" s="10" t="str">
        <x:v>Population variance σ²</x:v>
      </x:c>
      <x:c r="B12" s="12" t="n">
        <x:f>VAR.P(B6:G6)</x:f>
        <x:v>27.805555555555557</x:v>
      </x:c>
      <x:c r="C12" s="12"/>
      <x:c r="D12" s="12"/>
      <x:c r="E12" s="12"/>
      <x:c r="F12" s="12"/>
      <x:c r="G12" s="12"/>
      <x:c r="H12" s="12"/>
      <x:c r="I12" s="12"/>
    </x:row>
    <x:row r="13">
      <x:c r="A13" s="10" t="str">
        <x:v>Population mean square S²</x:v>
      </x:c>
      <x:c r="B13" s="12" t="n">
        <x:f>VAR.S(B6:G6)</x:f>
        <x:v>33.36666666666667</x:v>
      </x:c>
      <x:c r="C13" s="12"/>
      <x:c r="D13" s="12"/>
      <x:c r="E13" s="12"/>
      <x:c r="F13" s="12"/>
      <x:c r="G13" s="12"/>
      <x:c r="H13" s="12"/>
      <x:c r="I13" s="12"/>
    </x:row>
    <x:row r="14">
      <x:c r="B14" s="12"/>
      <x:c r="C14" s="12"/>
      <x:c r="D14" s="12"/>
      <x:c r="E14" s="12"/>
      <x:c r="F14" s="12"/>
      <x:c r="G14" s="12"/>
      <x:c r="H14" s="12"/>
      <x:c r="I14" s="12"/>
    </x:row>
    <x:row r="15">
      <x:c r="A15" s="4" t="str">
        <x:v>All SRSWOR samples of size 3</x:v>
      </x:c>
      <x:c r="B15" s="12"/>
      <x:c r="C15" s="12"/>
      <x:c r="D15" s="12"/>
      <x:c r="E15" s="12"/>
      <x:c r="F15" s="12"/>
      <x:c r="G15" s="12"/>
      <x:c r="H15" s="11" t="str">
        <x:v>Summary</x:v>
      </x:c>
      <x:c r="I15" s="11" t="str">
        <x:v>Formula/Value</x:v>
      </x:c>
    </x:row>
    <x:row r="16">
      <x:c r="A16" s="4" t="str">
        <x:v>Sample No.</x:v>
      </x:c>
      <x:c r="B16" s="11" t="str">
        <x:v>x1</x:v>
      </x:c>
      <x:c r="C16" s="11" t="str">
        <x:v>x2</x:v>
      </x:c>
      <x:c r="D16" s="11" t="str">
        <x:v>x3</x:v>
      </x:c>
      <x:c r="E16" s="11" t="str">
        <x:v>Sample Mean</x:v>
      </x:c>
      <x:c r="F16" s="11" t="str">
        <x:v>Sample Variance</x:v>
      </x:c>
      <x:c r="G16" s="12"/>
      <x:c r="H16" s="12" t="str">
        <x:v>No. of samples</x:v>
      </x:c>
      <x:c r="I16" s="12" t="n">
        <x:f>COUNT(E17:E36)</x:f>
        <x:v>20</x:v>
      </x:c>
    </x:row>
    <x:row r="17">
      <x:c r="A17" s="10" t="n">
        <x:v>1</x:v>
      </x:c>
      <x:c r="B17" s="12" t="n">
        <x:v>1</x:v>
      </x:c>
      <x:c r="C17" s="12" t="n">
        <x:v>2</x:v>
      </x:c>
      <x:c r="D17" s="12" t="n">
        <x:v>4</x:v>
      </x:c>
      <x:c r="E17" s="12" t="n">
        <x:f>AVERAGE(B17:D17)</x:f>
        <x:v>2.3333333333333335</x:v>
      </x:c>
      <x:c r="F17" s="12" t="n">
        <x:f>VAR.S(B17:D17)</x:f>
        <x:v>2.333333333333333</x:v>
      </x:c>
      <x:c r="G17" s="12"/>
      <x:c r="H17" s="12" t="str">
        <x:v>Average sample mean</x:v>
      </x:c>
      <x:c r="I17" s="12" t="n">
        <x:f>AVERAGE(E17:E36)</x:f>
        <x:v>6.833333333333333</x:v>
      </x:c>
    </x:row>
    <x:row r="18">
      <x:c r="A18" s="10" t="n">
        <x:v>2</x:v>
      </x:c>
      <x:c r="B18" s="12" t="n">
        <x:v>1</x:v>
      </x:c>
      <x:c r="C18" s="12" t="n">
        <x:v>2</x:v>
      </x:c>
      <x:c r="D18" s="12" t="n">
        <x:v>7</x:v>
      </x:c>
      <x:c r="E18" s="12" t="n">
        <x:f>AVERAGE(B18:D18)</x:f>
        <x:v>3.3333333333333335</x:v>
      </x:c>
      <x:c r="F18" s="12" t="n">
        <x:f>VAR.S(B18:D18)</x:f>
        <x:v>10.333333333333332</x:v>
      </x:c>
      <x:c r="G18" s="12"/>
      <x:c r="H18" s="12" t="str">
        <x:v>Population mean</x:v>
      </x:c>
      <x:c r="I18" s="12" t="n">
        <x:f>B11</x:f>
        <x:v>6.833333333333333</x:v>
      </x:c>
    </x:row>
    <x:row r="19">
      <x:c r="A19" s="10" t="n">
        <x:v>3</x:v>
      </x:c>
      <x:c r="B19" s="12" t="n">
        <x:v>1</x:v>
      </x:c>
      <x:c r="C19" s="12" t="n">
        <x:v>2</x:v>
      </x:c>
      <x:c r="D19" s="12" t="n">
        <x:v>11</x:v>
      </x:c>
      <x:c r="E19" s="12" t="n">
        <x:f>AVERAGE(B19:D19)</x:f>
        <x:v>4.666666666666667</x:v>
      </x:c>
      <x:c r="F19" s="12" t="n">
        <x:f>VAR.S(B19:D19)</x:f>
        <x:v>30.333333333333332</x:v>
      </x:c>
      <x:c r="G19" s="12"/>
      <x:c r="H19" s="12" t="str">
        <x:v>Average sample variance</x:v>
      </x:c>
      <x:c r="I19" s="12" t="n">
        <x:f>AVERAGE(F17:F36)</x:f>
        <x:v>33.36666666666667</x:v>
      </x:c>
    </x:row>
    <x:row r="20">
      <x:c r="A20" s="10" t="n">
        <x:v>4</x:v>
      </x:c>
      <x:c r="B20" s="12" t="n">
        <x:v>1</x:v>
      </x:c>
      <x:c r="C20" s="12" t="n">
        <x:v>2</x:v>
      </x:c>
      <x:c r="D20" s="12" t="n">
        <x:v>16</x:v>
      </x:c>
      <x:c r="E20" s="12" t="n">
        <x:f>AVERAGE(B20:D20)</x:f>
        <x:v>6.333333333333333</x:v>
      </x:c>
      <x:c r="F20" s="12" t="n">
        <x:f>VAR.S(B20:D20)</x:f>
        <x:v>70.33333333333334</x:v>
      </x:c>
      <x:c r="G20" s="12"/>
      <x:c r="H20" s="12" t="str">
        <x:v>Population mean square S²</x:v>
      </x:c>
      <x:c r="I20" s="12" t="n">
        <x:f>B13</x:f>
        <x:v>33.36666666666667</x:v>
      </x:c>
    </x:row>
    <x:row r="21">
      <x:c r="A21" s="10" t="n">
        <x:v>5</x:v>
      </x:c>
      <x:c r="B21" s="12" t="n">
        <x:v>1</x:v>
      </x:c>
      <x:c r="C21" s="12" t="n">
        <x:v>4</x:v>
      </x:c>
      <x:c r="D21" s="12" t="n">
        <x:v>7</x:v>
      </x:c>
      <x:c r="E21" s="12" t="n">
        <x:f>AVERAGE(B21:D21)</x:f>
        <x:v>4</x:v>
      </x:c>
      <x:c r="F21" s="12" t="n">
        <x:f>VAR.S(B21:D21)</x:f>
        <x:v>9</x:v>
      </x:c>
      <x:c r="G21" s="12"/>
      <x:c r="H21" s="12" t="str">
        <x:v>Sampling variance of sample means</x:v>
      </x:c>
      <x:c r="I21" s="12" t="n">
        <x:f>VAR.P(E17:E36)</x:f>
        <x:v>5.561111111111112</x:v>
      </x:c>
    </x:row>
    <x:row r="22">
      <x:c r="A22" s="10" t="n">
        <x:v>6</x:v>
      </x:c>
      <x:c r="B22" s="12" t="n">
        <x:v>1</x:v>
      </x:c>
      <x:c r="C22" s="12" t="n">
        <x:v>4</x:v>
      </x:c>
      <x:c r="D22" s="12" t="n">
        <x:v>11</x:v>
      </x:c>
      <x:c r="E22" s="12" t="n">
        <x:f>AVERAGE(B22:D22)</x:f>
        <x:v>5.333333333333333</x:v>
      </x:c>
      <x:c r="F22" s="12" t="n">
        <x:f>VAR.S(B22:D22)</x:f>
        <x:v>26.333333333333336</x:v>
      </x:c>
      <x:c r="G22" s="12"/>
      <x:c r="H22" s="12" t="str">
        <x:v>Theoretical V(ybar)</x:v>
      </x:c>
      <x:c r="I22" s="12" t="n">
        <x:f>(1/B10-1/B9)*B13</x:f>
        <x:v>5.561111111111111</x:v>
      </x:c>
    </x:row>
    <x:row r="23">
      <x:c r="A23" s="10" t="n">
        <x:v>7</x:v>
      </x:c>
      <x:c r="B23" s="10" t="n">
        <x:v>1</x:v>
      </x:c>
      <x:c r="C23" s="10" t="n">
        <x:v>4</x:v>
      </x:c>
      <x:c r="D23" s="10" t="n">
        <x:v>16</x:v>
      </x:c>
      <x:c r="E23" s="10" t="n">
        <x:f>AVERAGE(B23:D23)</x:f>
        <x:v>7</x:v>
      </x:c>
      <x:c r="F23" s="10" t="n">
        <x:f>VAR.S(B23:D23)</x:f>
        <x:v>63</x:v>
      </x:c>
    </x:row>
    <x:row r="24">
      <x:c r="A24" s="10" t="n">
        <x:v>8</x:v>
      </x:c>
      <x:c r="B24" s="10" t="n">
        <x:v>1</x:v>
      </x:c>
      <x:c r="C24" s="10" t="n">
        <x:v>7</x:v>
      </x:c>
      <x:c r="D24" s="10" t="n">
        <x:v>11</x:v>
      </x:c>
      <x:c r="E24" s="10" t="n">
        <x:f>AVERAGE(B24:D24)</x:f>
        <x:v>6.333333333333333</x:v>
      </x:c>
      <x:c r="F24" s="10" t="n">
        <x:f>VAR.S(B24:D24)</x:f>
        <x:v>25.333333333333336</x:v>
      </x:c>
    </x:row>
    <x:row r="25">
      <x:c r="A25" s="10" t="n">
        <x:v>9</x:v>
      </x:c>
      <x:c r="B25" s="10" t="n">
        <x:v>1</x:v>
      </x:c>
      <x:c r="C25" s="10" t="n">
        <x:v>7</x:v>
      </x:c>
      <x:c r="D25" s="10" t="n">
        <x:v>16</x:v>
      </x:c>
      <x:c r="E25" s="10" t="n">
        <x:f>AVERAGE(B25:D25)</x:f>
        <x:v>8</x:v>
      </x:c>
      <x:c r="F25" s="10" t="n">
        <x:f>VAR.S(B25:D25)</x:f>
        <x:v>57</x:v>
      </x:c>
    </x:row>
    <x:row r="26">
      <x:c r="A26" s="10" t="n">
        <x:v>10</x:v>
      </x:c>
      <x:c r="B26" s="10" t="n">
        <x:v>1</x:v>
      </x:c>
      <x:c r="C26" s="10" t="n">
        <x:v>11</x:v>
      </x:c>
      <x:c r="D26" s="10" t="n">
        <x:v>16</x:v>
      </x:c>
      <x:c r="E26" s="10" t="n">
        <x:f>AVERAGE(B26:D26)</x:f>
        <x:v>9.333333333333334</x:v>
      </x:c>
      <x:c r="F26" s="10" t="n">
        <x:f>VAR.S(B26:D26)</x:f>
        <x:v>58.33333333333333</x:v>
      </x:c>
    </x:row>
    <x:row r="27">
      <x:c r="A27" s="10" t="n">
        <x:v>11</x:v>
      </x:c>
      <x:c r="B27" s="10" t="n">
        <x:v>2</x:v>
      </x:c>
      <x:c r="C27" s="10" t="n">
        <x:v>4</x:v>
      </x:c>
      <x:c r="D27" s="10" t="n">
        <x:v>7</x:v>
      </x:c>
      <x:c r="E27" s="10" t="n">
        <x:f>AVERAGE(B27:D27)</x:f>
        <x:v>4.333333333333333</x:v>
      </x:c>
      <x:c r="F27" s="10" t="n">
        <x:f>VAR.S(B27:D27)</x:f>
        <x:v>6.333333333333333</x:v>
      </x:c>
    </x:row>
    <x:row r="28">
      <x:c r="A28" s="10" t="n">
        <x:v>12</x:v>
      </x:c>
      <x:c r="B28" s="10" t="n">
        <x:v>2</x:v>
      </x:c>
      <x:c r="C28" s="10" t="n">
        <x:v>4</x:v>
      </x:c>
      <x:c r="D28" s="10" t="n">
        <x:v>11</x:v>
      </x:c>
      <x:c r="E28" s="10" t="n">
        <x:f>AVERAGE(B28:D28)</x:f>
        <x:v>5.666666666666667</x:v>
      </x:c>
      <x:c r="F28" s="10" t="n">
        <x:f>VAR.S(B28:D28)</x:f>
        <x:v>22.333333333333336</x:v>
      </x:c>
    </x:row>
    <x:row r="29">
      <x:c r="A29" s="10" t="n">
        <x:v>13</x:v>
      </x:c>
      <x:c r="B29" s="10" t="n">
        <x:v>2</x:v>
      </x:c>
      <x:c r="C29" s="10" t="n">
        <x:v>4</x:v>
      </x:c>
      <x:c r="D29" s="10" t="n">
        <x:v>16</x:v>
      </x:c>
      <x:c r="E29" s="10" t="n">
        <x:f>AVERAGE(B29:D29)</x:f>
        <x:v>7.333333333333333</x:v>
      </x:c>
      <x:c r="F29" s="10" t="n">
        <x:f>VAR.S(B29:D29)</x:f>
        <x:v>57.33333333333334</x:v>
      </x:c>
    </x:row>
    <x:row r="30">
      <x:c r="A30" s="10" t="n">
        <x:v>14</x:v>
      </x:c>
      <x:c r="B30" s="10" t="n">
        <x:v>2</x:v>
      </x:c>
      <x:c r="C30" s="10" t="n">
        <x:v>7</x:v>
      </x:c>
      <x:c r="D30" s="10" t="n">
        <x:v>11</x:v>
      </x:c>
      <x:c r="E30" s="10" t="n">
        <x:f>AVERAGE(B30:D30)</x:f>
        <x:v>6.666666666666667</x:v>
      </x:c>
      <x:c r="F30" s="10" t="n">
        <x:f>VAR.S(B30:D30)</x:f>
        <x:v>20.333333333333336</x:v>
      </x:c>
    </x:row>
    <x:row r="31">
      <x:c r="A31" s="10" t="n">
        <x:v>15</x:v>
      </x:c>
      <x:c r="B31" s="10" t="n">
        <x:v>2</x:v>
      </x:c>
      <x:c r="C31" s="10" t="n">
        <x:v>7</x:v>
      </x:c>
      <x:c r="D31" s="10" t="n">
        <x:v>16</x:v>
      </x:c>
      <x:c r="E31" s="10" t="n">
        <x:f>AVERAGE(B31:D31)</x:f>
        <x:v>8.333333333333334</x:v>
      </x:c>
      <x:c r="F31" s="10" t="n">
        <x:f>VAR.S(B31:D31)</x:f>
        <x:v>50.333333333333336</x:v>
      </x:c>
    </x:row>
    <x:row r="32">
      <x:c r="A32" s="10" t="n">
        <x:v>16</x:v>
      </x:c>
      <x:c r="B32" s="10" t="n">
        <x:v>2</x:v>
      </x:c>
      <x:c r="C32" s="10" t="n">
        <x:v>11</x:v>
      </x:c>
      <x:c r="D32" s="10" t="n">
        <x:v>16</x:v>
      </x:c>
      <x:c r="E32" s="10" t="n">
        <x:f>AVERAGE(B32:D32)</x:f>
        <x:v>9.666666666666666</x:v>
      </x:c>
      <x:c r="F32" s="10" t="n">
        <x:f>VAR.S(B32:D32)</x:f>
        <x:v>50.333333333333336</x:v>
      </x:c>
    </x:row>
    <x:row r="33">
      <x:c r="A33" s="10" t="n">
        <x:v>17</x:v>
      </x:c>
      <x:c r="B33" s="10" t="n">
        <x:v>4</x:v>
      </x:c>
      <x:c r="C33" s="10" t="n">
        <x:v>7</x:v>
      </x:c>
      <x:c r="D33" s="10" t="n">
        <x:v>11</x:v>
      </x:c>
      <x:c r="E33" s="10" t="n">
        <x:f>AVERAGE(B33:D33)</x:f>
        <x:v>7.333333333333333</x:v>
      </x:c>
      <x:c r="F33" s="10" t="n">
        <x:f>VAR.S(B33:D33)</x:f>
        <x:v>12.333333333333332</x:v>
      </x:c>
    </x:row>
    <x:row r="34">
      <x:c r="A34" s="10" t="n">
        <x:v>18</x:v>
      </x:c>
      <x:c r="B34" s="10" t="n">
        <x:v>4</x:v>
      </x:c>
      <x:c r="C34" s="10" t="n">
        <x:v>7</x:v>
      </x:c>
      <x:c r="D34" s="10" t="n">
        <x:v>16</x:v>
      </x:c>
      <x:c r="E34" s="10" t="n">
        <x:f>AVERAGE(B34:D34)</x:f>
        <x:v>9</x:v>
      </x:c>
      <x:c r="F34" s="10" t="n">
        <x:f>VAR.S(B34:D34)</x:f>
        <x:v>39</x:v>
      </x:c>
    </x:row>
    <x:row r="35">
      <x:c r="A35" s="10" t="n">
        <x:v>19</x:v>
      </x:c>
      <x:c r="B35" s="10" t="n">
        <x:v>4</x:v>
      </x:c>
      <x:c r="C35" s="10" t="n">
        <x:v>11</x:v>
      </x:c>
      <x:c r="D35" s="10" t="n">
        <x:v>16</x:v>
      </x:c>
      <x:c r="E35" s="10" t="n">
        <x:f>AVERAGE(B35:D35)</x:f>
        <x:v>10.333333333333334</x:v>
      </x:c>
      <x:c r="F35" s="10" t="n">
        <x:f>VAR.S(B35:D35)</x:f>
        <x:v>36.333333333333336</x:v>
      </x:c>
    </x:row>
    <x:row r="36">
      <x:c r="A36" s="10" t="n">
        <x:v>20</x:v>
      </x:c>
      <x:c r="B36" s="10" t="n">
        <x:v>7</x:v>
      </x:c>
      <x:c r="C36" s="10" t="n">
        <x:v>11</x:v>
      </x:c>
      <x:c r="D36" s="10" t="n">
        <x:v>16</x:v>
      </x:c>
      <x:c r="E36" s="10" t="n">
        <x:f>AVERAGE(B36:D36)</x:f>
        <x:v>11.333333333333334</x:v>
      </x:c>
      <x:c r="F36" s="10" t="n">
        <x:f>VAR.S(B36:D36)</x:f>
        <x:v>20.333333333333332</x:v>
      </x:c>
    </x:row>
    <x:row r="40">
      <x:c r="A40" s="15" t="str">
        <x:v>Section 2: Written Practical Content</x:v>
      </x:c>
      <x:c r="B40" s="7"/>
      <x:c r="C40" s="7"/>
      <x:c r="D40" s="7"/>
      <x:c r="E40" s="7"/>
      <x:c r="F40" s="7"/>
      <x:c r="G40" s="7"/>
      <x:c r="H40" s="7"/>
      <x:c r="I40" s="7"/>
      <x:c r="J40" s="7"/>
    </x:row>
    <x:row r="41">
      <x:c r="A41" s="7"/>
      <x:c r="B41" s="7"/>
      <x:c r="C41" s="7"/>
      <x:c r="D41" s="7"/>
      <x:c r="E41" s="7"/>
      <x:c r="F41" s="7"/>
      <x:c r="G41" s="7"/>
      <x:c r="H41" s="7"/>
      <x:c r="I41" s="7"/>
      <x:c r="J41" s="7"/>
    </x:row>
    <x:row r="42">
      <x:c r="A42" s="15" t="str">
        <x:v>Aim</x:v>
      </x:c>
      <x:c r="B42" s="7" t="str">
        <x:v>To show that sample mean is an unbiased estimator of population mean and sample variance is an unbiased estimator of population variance/mean square under SRSWOR.</x:v>
      </x:c>
      <x:c r="C42" s="7"/>
      <x:c r="D42" s="7"/>
      <x:c r="E42" s="7"/>
      <x:c r="F42" s="7"/>
      <x:c r="G42" s="7"/>
      <x:c r="H42" s="7"/>
      <x:c r="I42" s="7"/>
      <x:c r="J42" s="7"/>
    </x:row>
    <x:row r="43">
      <x:c r="A43" s="7"/>
      <x:c r="B43" s="7"/>
      <x:c r="C43" s="7"/>
      <x:c r="D43" s="7"/>
      <x:c r="E43" s="7"/>
      <x:c r="F43" s="7"/>
      <x:c r="G43" s="7"/>
      <x:c r="H43" s="7"/>
      <x:c r="I43" s="7"/>
      <x:c r="J43" s="7"/>
    </x:row>
    <x:row r="44">
      <x:c r="A44" s="15" t="str">
        <x:v>Experiment</x:v>
      </x:c>
      <x:c r="B44" s="7" t="str">
        <x:v>All possible SRSWOR samples of size 3 are drawn from the population 1, 2, 4, 7, 11 and 16.</x:v>
      </x:c>
      <x:c r="C44" s="7"/>
      <x:c r="D44" s="7"/>
      <x:c r="E44" s="7"/>
      <x:c r="F44" s="7"/>
      <x:c r="G44" s="7"/>
      <x:c r="H44" s="7"/>
      <x:c r="I44" s="7"/>
      <x:c r="J44" s="7"/>
    </x:row>
    <x:row r="45">
      <x:c r="A45" s="7"/>
      <x:c r="B45" s="7"/>
      <x:c r="C45" s="7"/>
      <x:c r="D45" s="7"/>
      <x:c r="E45" s="7"/>
      <x:c r="F45" s="7"/>
      <x:c r="G45" s="7"/>
      <x:c r="H45" s="7"/>
      <x:c r="I45" s="7"/>
      <x:c r="J45" s="7"/>
    </x:row>
    <x:row r="46">
      <x:c r="A46" s="15" t="str">
        <x:v>Theory &amp; Formula</x:v>
      </x:c>
      <x:c r="B46" s="7" t="str">
        <x:v>For SRSWOR, E(ybar)=Ybar, E(s²)=S² and V(ybar)=(1/n-1/N)S².</x:v>
      </x:c>
      <x:c r="C46" s="7"/>
      <x:c r="D46" s="7"/>
      <x:c r="E46" s="7"/>
      <x:c r="F46" s="7"/>
      <x:c r="G46" s="7"/>
      <x:c r="H46" s="7"/>
      <x:c r="I46" s="7"/>
      <x:c r="J46" s="7"/>
    </x:row>
    <x:row r="47">
      <x:c r="A47" s="7"/>
      <x:c r="B47" s="7"/>
      <x:c r="C47" s="7"/>
      <x:c r="D47" s="7"/>
      <x:c r="E47" s="7"/>
      <x:c r="F47" s="7"/>
      <x:c r="G47" s="7"/>
      <x:c r="H47" s="7"/>
      <x:c r="I47" s="7"/>
      <x:c r="J47" s="7"/>
    </x:row>
    <x:row r="48">
      <x:c r="A48" s="15" t="str">
        <x:v>Calculation Steps</x:v>
      </x:c>
      <x:c r="B48" s="7" t="str">
        <x:v>Enter the six population values. List every combination of size 3. Calculate each sample mean using =AVERAGE() and each sample variance using =VAR.S(). Use summary formulas to compare averages with population values.</x:v>
      </x:c>
      <x:c r="C48" s="7"/>
      <x:c r="D48" s="7"/>
      <x:c r="E48" s="7"/>
      <x:c r="F48" s="7"/>
      <x:c r="G48" s="7"/>
      <x:c r="H48" s="7"/>
      <x:c r="I48" s="7"/>
      <x:c r="J48" s="7"/>
    </x:row>
    <x:row r="49">
      <x:c r="A49" s="7"/>
      <x:c r="B49" s="7"/>
      <x:c r="C49" s="7"/>
      <x:c r="D49" s="7"/>
      <x:c r="E49" s="7"/>
      <x:c r="F49" s="7"/>
      <x:c r="G49" s="7"/>
      <x:c r="H49" s="7"/>
      <x:c r="I49" s="7"/>
      <x:c r="J49" s="7"/>
    </x:row>
    <x:row r="50">
      <x:c r="A50" s="15" t="str">
        <x:v>Result</x:v>
      </x:c>
      <x:c r="B50" s="7" t="str">
        <x:v>The summary verifies unbiasedness and computes sampling variance using Excel formulas.</x:v>
      </x:c>
      <x:c r="C50" s="7"/>
      <x:c r="D50" s="7"/>
      <x:c r="E50" s="7"/>
      <x:c r="F50" s="7"/>
      <x:c r="G50" s="7"/>
      <x:c r="H50" s="7"/>
      <x:c r="I50" s="7"/>
      <x:c r="J50" s="7"/>
    </x:row>
    <x:row r="51">
      <x:c r="A51" s="7"/>
      <x:c r="B51" s="7"/>
      <x:c r="C51" s="7"/>
      <x:c r="D51" s="7"/>
      <x:c r="E51" s="7"/>
      <x:c r="F51" s="7"/>
      <x:c r="G51" s="7"/>
      <x:c r="H51" s="7"/>
      <x:c r="I51" s="7"/>
      <x:c r="J51" s="7"/>
    </x:row>
    <x:row r="52">
      <x:c r="A52" s="15" t="str">
        <x:v>Conclusion</x:v>
      </x:c>
      <x:c r="B52" s="7" t="str">
        <x:v>The average sample mean equals the population mean and the average sample variance equals the population mean square.</x:v>
      </x:c>
      <x:c r="C52" s="7"/>
      <x:c r="D52" s="7"/>
      <x:c r="E52" s="7"/>
      <x:c r="F52" s="7"/>
      <x:c r="G52" s="7"/>
      <x:c r="H52" s="7"/>
      <x:c r="I52" s="7"/>
      <x:c r="J52" s="7"/>
    </x:row>
    <x:row r="53">
      <x:c r="A53" s="7"/>
      <x:c r="B53" s="7"/>
      <x:c r="C53" s="7"/>
      <x:c r="D53" s="7"/>
      <x:c r="E53" s="7"/>
      <x:c r="F53" s="7"/>
      <x:c r="G53" s="7"/>
      <x:c r="H53" s="7"/>
      <x:c r="I53" s="7"/>
      <x:c r="J53" s="7"/>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3 - Sample size for SRSWOR</x:v>
      </x:c>
      <x:c r="B1" s="7"/>
      <x:c r="C1" s="7"/>
      <x:c r="D1" s="7"/>
      <x:c r="E1" s="7"/>
      <x:c r="F1" s="7"/>
      <x:c r="G1" s="7"/>
      <x:c r="H1" s="7"/>
      <x:c r="I1" s="7"/>
      <x:c r="J1" s="7"/>
      <x:c r="K1" s="7"/>
      <x:c r="L1" s="7"/>
      <x:c r="M1" s="7"/>
      <x:c r="N1" s="7"/>
    </x:row>
    <x:row r="3">
      <x:c r="A3" s="4" t="str">
        <x:v>Section 1: Excel Work</x:v>
      </x:c>
    </x:row>
    <x:row r="5">
      <x:c r="A5" s="4" t="str">
        <x:v>Input</x:v>
      </x:c>
      <x:c r="B5" s="11" t="str">
        <x:v>Value</x:v>
      </x:c>
    </x:row>
    <x:row r="6">
      <x:c r="A6" s="10" t="str">
        <x:v>Population size N</x:v>
      </x:c>
      <x:c r="B6" s="12" t="n">
        <x:v>7508</x:v>
      </x:c>
    </x:row>
    <x:row r="7">
      <x:c r="A7" s="10" t="str">
        <x:v>Standard deviation S</x:v>
      </x:c>
      <x:c r="B7" s="12" t="n">
        <x:v>650</x:v>
      </x:c>
    </x:row>
    <x:row r="8">
      <x:c r="A8" s="10" t="str">
        <x:v>Specified standard error d</x:v>
      </x:c>
      <x:c r="B8" s="12" t="n">
        <x:v>25</x:v>
      </x:c>
    </x:row>
    <x:row r="9">
      <x:c r="B9" s="12"/>
    </x:row>
    <x:row r="10">
      <x:c r="A10" s="4" t="str">
        <x:v>Calculation</x:v>
      </x:c>
      <x:c r="B10" s="11" t="str">
        <x:v>Formula/Value</x:v>
      </x:c>
    </x:row>
    <x:row r="11">
      <x:c r="A11" s="10" t="str">
        <x:v>n = N*S² / (N*d² + S²)</x:v>
      </x:c>
      <x:c r="B11" s="12" t="n">
        <x:f>B6*B7^2/(B6*B8^2+B7^2)</x:f>
        <x:v>620.1622678396872</x:v>
      </x:c>
    </x:row>
    <x:row r="12">
      <x:c r="A12" s="10" t="str">
        <x:v>Required sample size (rounded up)</x:v>
      </x:c>
      <x:c r="B12" s="12" t="n">
        <x:f>CEILING(B11,1)</x:f>
        <x:v>621</x:v>
      </x:c>
    </x:row>
    <x:row r="15">
      <x:c r="A15" s="15" t="str">
        <x:v>Section 2: Written Practical Content</x:v>
      </x:c>
      <x:c r="B15" s="7"/>
      <x:c r="C15" s="7"/>
      <x:c r="D15" s="7"/>
      <x:c r="E15" s="7"/>
      <x:c r="F15" s="7"/>
      <x:c r="G15" s="7"/>
      <x:c r="H15" s="7"/>
      <x:c r="I15" s="7"/>
      <x:c r="J15" s="7"/>
    </x:row>
    <x:row r="16">
      <x:c r="A16" s="7"/>
      <x:c r="B16" s="7"/>
      <x:c r="C16" s="7"/>
      <x:c r="D16" s="7"/>
      <x:c r="E16" s="7"/>
      <x:c r="F16" s="7"/>
      <x:c r="G16" s="7"/>
      <x:c r="H16" s="7"/>
      <x:c r="I16" s="7"/>
      <x:c r="J16" s="7"/>
    </x:row>
    <x:row r="17">
      <x:c r="A17" s="15" t="str">
        <x:v>Aim</x:v>
      </x:c>
      <x:c r="B17" s="7" t="str">
        <x:v>To calculate the required sample size in SRSWOR.</x:v>
      </x:c>
      <x:c r="C17" s="7"/>
      <x:c r="D17" s="7"/>
      <x:c r="E17" s="7"/>
      <x:c r="F17" s="7"/>
      <x:c r="G17" s="7"/>
      <x:c r="H17" s="7"/>
      <x:c r="I17" s="7"/>
      <x:c r="J17" s="7"/>
    </x:row>
    <x:row r="18">
      <x:c r="A18" s="7"/>
      <x:c r="B18" s="7"/>
      <x:c r="C18" s="7"/>
      <x:c r="D18" s="7"/>
      <x:c r="E18" s="7"/>
      <x:c r="F18" s="7"/>
      <x:c r="G18" s="7"/>
      <x:c r="H18" s="7"/>
      <x:c r="I18" s="7"/>
      <x:c r="J18" s="7"/>
    </x:row>
    <x:row r="19">
      <x:c r="A19" s="15" t="str">
        <x:v>Experiment</x:v>
      </x:c>
      <x:c r="B19" s="7" t="str">
        <x:v>Average monthly income of a province containing 7508 families is to be estimated. The standard deviation is taken as Rs. 650 and the specified standard error is Rs. 25.</x:v>
      </x:c>
      <x:c r="C19" s="7"/>
      <x:c r="D19" s="7"/>
      <x:c r="E19" s="7"/>
      <x:c r="F19" s="7"/>
      <x:c r="G19" s="7"/>
      <x:c r="H19" s="7"/>
      <x:c r="I19" s="7"/>
      <x:c r="J19" s="7"/>
    </x:row>
    <x:row r="20">
      <x:c r="A20" s="7"/>
      <x:c r="B20" s="7"/>
      <x:c r="C20" s="7"/>
      <x:c r="D20" s="7"/>
      <x:c r="E20" s="7"/>
      <x:c r="F20" s="7"/>
      <x:c r="G20" s="7"/>
      <x:c r="H20" s="7"/>
      <x:c r="I20" s="7"/>
      <x:c r="J20" s="7"/>
    </x:row>
    <x:row r="21">
      <x:c r="A21" s="15" t="str">
        <x:v>Theory &amp; Formula</x:v>
      </x:c>
      <x:c r="B21" s="7" t="str">
        <x:v>Using V(ybar) = (1/n - 1/N)S². Solving for n gives n = N*S²/(N*d² + S²), where d is the specified standard error.</x:v>
      </x:c>
      <x:c r="C21" s="7"/>
      <x:c r="D21" s="7"/>
      <x:c r="E21" s="7"/>
      <x:c r="F21" s="7"/>
      <x:c r="G21" s="7"/>
      <x:c r="H21" s="7"/>
      <x:c r="I21" s="7"/>
      <x:c r="J21" s="7"/>
    </x:row>
    <x:row r="22">
      <x:c r="A22" s="7"/>
      <x:c r="B22" s="7"/>
      <x:c r="C22" s="7"/>
      <x:c r="D22" s="7"/>
      <x:c r="E22" s="7"/>
      <x:c r="F22" s="7"/>
      <x:c r="G22" s="7"/>
      <x:c r="H22" s="7"/>
      <x:c r="I22" s="7"/>
      <x:c r="J22" s="7"/>
    </x:row>
    <x:row r="23">
      <x:c r="A23" s="15" t="str">
        <x:v>Calculation Steps</x:v>
      </x:c>
      <x:c r="B23" s="7" t="str">
        <x:v>Enter N, S and d. Apply the formula =N*S^2/(N*d^2+S^2). Round the result upward using =CEILING(value,1).</x:v>
      </x:c>
      <x:c r="C23" s="7"/>
      <x:c r="D23" s="7"/>
      <x:c r="E23" s="7"/>
      <x:c r="F23" s="7"/>
      <x:c r="G23" s="7"/>
      <x:c r="H23" s="7"/>
      <x:c r="I23" s="7"/>
      <x:c r="J23" s="7"/>
    </x:row>
    <x:row r="24">
      <x:c r="A24" s="7"/>
      <x:c r="B24" s="7"/>
      <x:c r="C24" s="7"/>
      <x:c r="D24" s="7"/>
      <x:c r="E24" s="7"/>
      <x:c r="F24" s="7"/>
      <x:c r="G24" s="7"/>
      <x:c r="H24" s="7"/>
      <x:c r="I24" s="7"/>
      <x:c r="J24" s="7"/>
    </x:row>
    <x:row r="25">
      <x:c r="A25" s="15" t="str">
        <x:v>Result</x:v>
      </x:c>
      <x:c r="B25" s="7" t="str">
        <x:v>The workbook calculates the required sample size directly from the provided values.</x:v>
      </x:c>
      <x:c r="C25" s="7"/>
      <x:c r="D25" s="7"/>
      <x:c r="E25" s="7"/>
      <x:c r="F25" s="7"/>
      <x:c r="G25" s="7"/>
      <x:c r="H25" s="7"/>
      <x:c r="I25" s="7"/>
      <x:c r="J25" s="7"/>
    </x:row>
    <x:row r="26">
      <x:c r="A26" s="7"/>
      <x:c r="B26" s="7"/>
      <x:c r="C26" s="7"/>
      <x:c r="D26" s="7"/>
      <x:c r="E26" s="7"/>
      <x:c r="F26" s="7"/>
      <x:c r="G26" s="7"/>
      <x:c r="H26" s="7"/>
      <x:c r="I26" s="7"/>
      <x:c r="J26" s="7"/>
    </x:row>
    <x:row r="27">
      <x:c r="A27" s="15" t="str">
        <x:v>Conclusion</x:v>
      </x:c>
      <x:c r="B27" s="7" t="str">
        <x:v>The sample size must be at least the rounded-up value shown in the Excel calculation.</x:v>
      </x:c>
      <x:c r="C27" s="7"/>
      <x:c r="D27" s="7"/>
      <x:c r="E27" s="7"/>
      <x:c r="F27" s="7"/>
      <x:c r="G27" s="7"/>
      <x:c r="H27" s="7"/>
      <x:c r="I27" s="7"/>
      <x:c r="J27" s="7"/>
    </x:row>
    <x:row r="28">
      <x:c r="A28" s="7"/>
      <x:c r="B28" s="7"/>
      <x:c r="C28" s="7"/>
      <x:c r="D28" s="7"/>
      <x:c r="E28" s="7"/>
      <x:c r="F28" s="7"/>
      <x:c r="G28" s="7"/>
      <x:c r="H28" s="7"/>
      <x:c r="I28" s="7"/>
      <x:c r="J28" s="7"/>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4 - Proportional and optimum allocation</x:v>
      </x:c>
      <x:c r="B1" s="7"/>
      <x:c r="C1" s="7"/>
      <x:c r="D1" s="7"/>
      <x:c r="E1" s="7"/>
      <x:c r="F1" s="7"/>
      <x:c r="G1" s="7"/>
      <x:c r="H1" s="7"/>
      <x:c r="I1" s="7"/>
      <x:c r="J1" s="7"/>
      <x:c r="K1" s="7"/>
      <x:c r="L1" s="7"/>
      <x:c r="M1" s="7"/>
      <x:c r="N1" s="7"/>
    </x:row>
    <x:row r="3">
      <x:c r="A3" s="4" t="str">
        <x:v>Section 1: Excel Work</x:v>
      </x:c>
    </x:row>
    <x:row r="5">
      <x:c r="A5" s="4" t="str">
        <x:v>Input</x:v>
      </x:c>
      <x:c r="B5" s="11" t="str">
        <x:v>Formula/Value</x:v>
      </x:c>
      <x:c r="C5" s="12"/>
      <x:c r="D5" s="12"/>
      <x:c r="E5" s="12"/>
      <x:c r="F5" s="12"/>
      <x:c r="G5" s="12"/>
      <x:c r="H5" s="12"/>
      <x:c r="I5" s="12"/>
      <x:c r="J5" s="12"/>
      <x:c r="K5" s="12"/>
    </x:row>
    <x:row r="6">
      <x:c r="A6" s="10" t="str">
        <x:v>Total population N</x:v>
      </x:c>
      <x:c r="B6" s="12" t="n">
        <x:f>SUM(B12:B17)</x:f>
        <x:v>1100</x:v>
      </x:c>
      <x:c r="C6" s="12"/>
      <x:c r="D6" s="12"/>
      <x:c r="E6" s="12"/>
      <x:c r="F6" s="12"/>
      <x:c r="G6" s="12"/>
      <x:c r="H6" s="12"/>
      <x:c r="I6" s="12"/>
      <x:c r="J6" s="12"/>
      <x:c r="K6" s="12"/>
    </x:row>
    <x:row r="7">
      <x:c r="A7" s="10" t="str">
        <x:v>Sample size n</x:v>
      </x:c>
      <x:c r="B7" s="12" t="n">
        <x:v>500</x:v>
      </x:c>
      <x:c r="C7" s="12"/>
      <x:c r="D7" s="12"/>
      <x:c r="E7" s="12"/>
      <x:c r="F7" s="12"/>
      <x:c r="G7" s="12"/>
      <x:c r="H7" s="12"/>
      <x:c r="I7" s="12"/>
      <x:c r="J7" s="12"/>
      <x:c r="K7" s="12"/>
    </x:row>
    <x:row r="8">
      <x:c r="A8" s="10" t="str">
        <x:v>Given SRSWOR variance from practical</x:v>
      </x:c>
      <x:c r="B8" s="12" t="n">
        <x:v>214.0521</x:v>
      </x:c>
      <x:c r="C8" s="12"/>
      <x:c r="D8" s="12"/>
      <x:c r="E8" s="12"/>
      <x:c r="F8" s="12"/>
      <x:c r="G8" s="12"/>
      <x:c r="H8" s="12"/>
      <x:c r="I8" s="12"/>
      <x:c r="J8" s="12"/>
      <x:c r="K8" s="12"/>
    </x:row>
    <x:row r="9">
      <x:c r="B9" s="12"/>
      <x:c r="C9" s="12"/>
      <x:c r="D9" s="12"/>
      <x:c r="E9" s="12"/>
      <x:c r="F9" s="12"/>
      <x:c r="G9" s="12"/>
      <x:c r="H9" s="12"/>
      <x:c r="I9" s="12"/>
      <x:c r="J9" s="12"/>
      <x:c r="K9" s="12"/>
    </x:row>
    <x:row r="10">
      <x:c r="B10" s="12"/>
      <x:c r="C10" s="12"/>
      <x:c r="D10" s="12"/>
      <x:c r="E10" s="12"/>
      <x:c r="F10" s="12"/>
      <x:c r="G10" s="12"/>
      <x:c r="H10" s="12"/>
      <x:c r="I10" s="12"/>
      <x:c r="J10" s="12"/>
      <x:c r="K10" s="12"/>
    </x:row>
    <x:row r="11">
      <x:c r="A11" s="4" t="str">
        <x:v>Stratum</x:v>
      </x:c>
      <x:c r="B11" s="11" t="str">
        <x:v>N_i</x:v>
      </x:c>
      <x:c r="C11" s="11" t="str">
        <x:v>N_i*S_i</x:v>
      </x:c>
      <x:c r="D11" s="11" t="str">
        <x:v>S_i</x:v>
      </x:c>
      <x:c r="E11" s="11" t="str">
        <x:v>p_i=N_i/N</x:v>
      </x:c>
      <x:c r="F11" s="11" t="str">
        <x:v>n_i proportional</x:v>
      </x:c>
      <x:c r="G11" s="11" t="str">
        <x:v>Rounded prop.</x:v>
      </x:c>
      <x:c r="H11" s="11" t="str">
        <x:v>n_i optimum</x:v>
      </x:c>
      <x:c r="I11" s="11" t="str">
        <x:v>Rounded opt.</x:v>
      </x:c>
      <x:c r="J11" s="11" t="str">
        <x:v>p_i*S_i²</x:v>
      </x:c>
      <x:c r="K11" s="11" t="str">
        <x:v>p_i*S_i</x:v>
      </x:c>
    </x:row>
    <x:row r="12">
      <x:c r="A12" s="10" t="str">
        <x:v>Stratum 1</x:v>
      </x:c>
      <x:c r="B12" s="12" t="n">
        <x:v>320</x:v>
      </x:c>
      <x:c r="C12" s="12" t="n">
        <x:v>64245.6</x:v>
      </x:c>
      <x:c r="D12" s="12" t="n">
        <x:f>C12/B12</x:f>
        <x:v>200.76749999999998</x:v>
      </x:c>
      <x:c r="E12" s="12" t="n">
        <x:f>B12/$B$6</x:f>
        <x:v>0.2909090909090909</x:v>
      </x:c>
      <x:c r="F12" s="12" t="n">
        <x:f>$B$7*B12/$B$6</x:f>
        <x:v>145.45454545454547</x:v>
      </x:c>
      <x:c r="G12" s="12" t="n">
        <x:f>ROUND(F12,0)</x:f>
        <x:v>145</x:v>
      </x:c>
      <x:c r="H12" s="12" t="n">
        <x:f>$B$7*C12/SUM($C$12:$C$17)</x:f>
        <x:v>181.36393893559037</x:v>
      </x:c>
      <x:c r="I12" s="12" t="n">
        <x:f>ROUND(H12,0)</x:f>
        <x:v>181</x:v>
      </x:c>
      <x:c r="J12" s="12" t="n">
        <x:f>E12*D12^2</x:f>
        <x:v>11725.844089090906</x:v>
      </x:c>
      <x:c r="K12" s="12" t="n">
        <x:f>E12*D12</x:f>
        <x:v>58.4050909090909</x:v>
      </x:c>
    </x:row>
    <x:row r="13">
      <x:c r="A13" s="10" t="str">
        <x:v>Stratum 2</x:v>
      </x:c>
      <x:c r="B13" s="12" t="n">
        <x:v>140</x:v>
      </x:c>
      <x:c r="C13" s="12" t="n">
        <x:v>19640.6</x:v>
      </x:c>
      <x:c r="D13" s="12" t="n">
        <x:f>C13/B13</x:f>
        <x:v>140.29</x:v>
      </x:c>
      <x:c r="E13" s="12" t="n">
        <x:f>B13/$B$6</x:f>
        <x:v>0.12727272727272726</x:v>
      </x:c>
      <x:c r="F13" s="12" t="n">
        <x:f>$B$7*B13/$B$6</x:f>
        <x:v>63.63636363636363</x:v>
      </x:c>
      <x:c r="G13" s="12" t="n">
        <x:f>ROUND(F13,0)</x:f>
        <x:v>64</x:v>
      </x:c>
      <x:c r="H13" s="12" t="n">
        <x:f>$B$7*C13/SUM($C$12:$C$17)</x:f>
        <x:v>55.44498890287204</x:v>
      </x:c>
      <x:c r="I13" s="12" t="n">
        <x:f>ROUND(H13,0)</x:f>
        <x:v>55</x:v>
      </x:c>
      <x:c r="J13" s="12" t="n">
        <x:f>E13*D13^2</x:f>
        <x:v>2504.890703636363</x:v>
      </x:c>
      <x:c r="K13" s="12" t="n">
        <x:f>E13*D13</x:f>
        <x:v>17.855090909090908</x:v>
      </x:c>
    </x:row>
    <x:row r="14">
      <x:c r="A14" s="10" t="str">
        <x:v>Stratum 3</x:v>
      </x:c>
      <x:c r="B14" s="12" t="n">
        <x:v>200</x:v>
      </x:c>
      <x:c r="C14" s="12" t="n">
        <x:v>7332</x:v>
      </x:c>
      <x:c r="D14" s="12" t="n">
        <x:f>C14/B14</x:f>
        <x:v>36.66</x:v>
      </x:c>
      <x:c r="E14" s="12" t="n">
        <x:f>B14/$B$6</x:f>
        <x:v>0.18181818181818182</x:v>
      </x:c>
      <x:c r="F14" s="12" t="n">
        <x:f>$B$7*B14/$B$6</x:f>
        <x:v>90.9090909090909</x:v>
      </x:c>
      <x:c r="G14" s="12" t="n">
        <x:f>ROUND(F14,0)</x:f>
        <x:v>91</x:v>
      </x:c>
      <x:c r="H14" s="12" t="n">
        <x:f>$B$7*C14/SUM($C$12:$C$17)</x:f>
        <x:v>20.698077382353787</x:v>
      </x:c>
      <x:c r="I14" s="12" t="n">
        <x:f>ROUND(H14,0)</x:f>
        <x:v>21</x:v>
      </x:c>
      <x:c r="J14" s="12" t="n">
        <x:f>E14*D14^2</x:f>
        <x:v>244.3555636363636</x:v>
      </x:c>
      <x:c r="K14" s="12" t="n">
        <x:f>E14*D14</x:f>
        <x:v>6.665454545454545</x:v>
      </x:c>
    </x:row>
    <x:row r="15">
      <x:c r="A15" s="10" t="str">
        <x:v>Stratum 4</x:v>
      </x:c>
      <x:c r="B15" s="12" t="n">
        <x:v>170</x:v>
      </x:c>
      <x:c r="C15" s="12" t="n">
        <x:v>16071.8</x:v>
      </x:c>
      <x:c r="D15" s="12" t="n">
        <x:f>C15/B15</x:f>
        <x:v>94.53999999999999</x:v>
      </x:c>
      <x:c r="E15" s="12" t="n">
        <x:f>B15/$B$6</x:f>
        <x:v>0.15454545454545454</x:v>
      </x:c>
      <x:c r="F15" s="12" t="n">
        <x:f>$B$7*B15/$B$6</x:f>
        <x:v>77.27272727272727</x:v>
      </x:c>
      <x:c r="G15" s="12" t="n">
        <x:f>ROUND(F15,0)</x:f>
        <x:v>77</x:v>
      </x:c>
      <x:c r="H15" s="12" t="n">
        <x:f>$B$7*C15/SUM($C$12:$C$17)</x:f>
        <x:v>45.370343708908024</x:v>
      </x:c>
      <x:c r="I15" s="12" t="n">
        <x:f>ROUND(H15,0)</x:f>
        <x:v>45</x:v>
      </x:c>
      <x:c r="J15" s="12" t="n">
        <x:f>E15*D15^2</x:f>
        <x:v>1381.2981563636363</x:v>
      </x:c>
      <x:c r="K15" s="12" t="n">
        <x:f>E15*D15</x:f>
        <x:v>14.61072727272727</x:v>
      </x:c>
    </x:row>
    <x:row r="16">
      <x:c r="A16" s="10" t="str">
        <x:v>Stratum 5</x:v>
      </x:c>
      <x:c r="B16" s="12" t="n">
        <x:v>180</x:v>
      </x:c>
      <x:c r="C16" s="12" t="n">
        <x:v>64904.8</x:v>
      </x:c>
      <x:c r="D16" s="12" t="n">
        <x:f>C16/B16</x:f>
        <x:v>360.58222222222224</x:v>
      </x:c>
      <x:c r="E16" s="12" t="n">
        <x:f>B16/$B$6</x:f>
        <x:v>0.16363636363636364</x:v>
      </x:c>
      <x:c r="F16" s="12" t="n">
        <x:f>$B$7*B16/$B$6</x:f>
        <x:v>81.81818181818181</x:v>
      </x:c>
      <x:c r="G16" s="12" t="n">
        <x:f>ROUND(F16,0)</x:f>
        <x:v>82</x:v>
      </x:c>
      <x:c r="H16" s="12" t="n">
        <x:f>$B$7*C16/SUM($C$12:$C$17)</x:f>
        <x:v>183.22484627471306</x:v>
      </x:c>
      <x:c r="I16" s="12" t="n">
        <x:f>ROUND(H16,0)</x:f>
        <x:v>183</x:v>
      </x:c>
      <x:c r="J16" s="12" t="n">
        <x:f>E16*D16^2</x:f>
        <x:v>21275.924560808086</x:v>
      </x:c>
      <x:c r="K16" s="12" t="n">
        <x:f>E16*D16</x:f>
        <x:v>59.00436363636364</x:v>
      </x:c>
    </x:row>
    <x:row r="17">
      <x:c r="A17" s="10" t="str">
        <x:v>Stratum 6</x:v>
      </x:c>
      <x:c r="B17" s="12" t="n">
        <x:v>90</x:v>
      </x:c>
      <x:c r="C17" s="12" t="n">
        <x:v>4923.1</x:v>
      </x:c>
      <x:c r="D17" s="12" t="n">
        <x:f>C17/B17</x:f>
        <x:v>54.70111111111112</x:v>
      </x:c>
      <x:c r="E17" s="12" t="n">
        <x:f>B17/$B$6</x:f>
        <x:v>0.08181818181818182</x:v>
      </x:c>
      <x:c r="F17" s="12" t="n">
        <x:f>$B$7*B17/$B$6</x:f>
        <x:v>40.90909090909091</x:v>
      </x:c>
      <x:c r="G17" s="12" t="n">
        <x:f>ROUND(F17,0)</x:f>
        <x:v>41</x:v>
      </x:c>
      <x:c r="H17" s="12" t="n">
        <x:f>$B$7*C17/SUM($C$12:$C$17)</x:f>
        <x:v>13.89780479556273</x:v>
      </x:c>
      <x:c r="I17" s="12" t="n">
        <x:f>ROUND(H17,0)</x:f>
        <x:v>14</x:v>
      </x:c>
      <x:c r="J17" s="12" t="n">
        <x:f>E17*D17^2</x:f>
        <x:v>244.81730919191924</x:v>
      </x:c>
      <x:c r="K17" s="12" t="n">
        <x:f>E17*D17</x:f>
        <x:v>4.475545454545455</x:v>
      </x:c>
    </x:row>
    <x:row r="18">
      <x:c r="B18" s="12"/>
      <x:c r="C18" s="12"/>
      <x:c r="D18" s="12"/>
      <x:c r="E18" s="12"/>
      <x:c r="F18" s="12"/>
      <x:c r="G18" s="12"/>
      <x:c r="H18" s="12"/>
      <x:c r="I18" s="12"/>
      <x:c r="J18" s="12"/>
      <x:c r="K18" s="12"/>
    </x:row>
    <x:row r="19">
      <x:c r="A19" s="4" t="str">
        <x:v>Variance/Efficiency</x:v>
      </x:c>
      <x:c r="B19" s="11" t="str">
        <x:v>Formula/Value</x:v>
      </x:c>
      <x:c r="C19" s="12"/>
      <x:c r="D19" s="12"/>
      <x:c r="E19" s="12"/>
      <x:c r="F19" s="12"/>
      <x:c r="G19" s="12"/>
      <x:c r="H19" s="12"/>
      <x:c r="I19" s="12"/>
      <x:c r="J19" s="12"/>
      <x:c r="K19" s="12"/>
    </x:row>
    <x:row r="20">
      <x:c r="A20" s="10" t="str">
        <x:v>V(ybar_st) proportional</x:v>
      </x:c>
      <x:c r="B20" s="12" t="n">
        <x:f>(1/$B$7-1/$B$6)*SUM(J12:J17)</x:f>
        <x:v>40.77505132661157</x:v>
      </x:c>
      <x:c r="C20" s="12"/>
      <x:c r="D20" s="12"/>
      <x:c r="E20" s="12"/>
      <x:c r="F20" s="12"/>
      <x:c r="G20" s="12"/>
      <x:c r="H20" s="12"/>
      <x:c r="I20" s="12"/>
      <x:c r="J20" s="12"/>
      <x:c r="K20" s="12"/>
    </x:row>
    <x:row r="21">
      <x:c r="A21" s="10" t="str">
        <x:v>V(ybar_st) optimum</x:v>
      </x:c>
      <x:c r="B21" s="12" t="n">
        <x:f>(1/$B$7)*(SUM(K12:K17)^2)-(1/$B$6)*SUM(J12:J17)</x:f>
        <x:v>17.873270727123973</x:v>
      </x:c>
      <x:c r="C21" s="12"/>
      <x:c r="D21" s="12"/>
      <x:c r="E21" s="12"/>
      <x:c r="F21" s="12"/>
      <x:c r="G21" s="12"/>
      <x:c r="H21" s="12"/>
      <x:c r="I21" s="12"/>
      <x:c r="J21" s="12"/>
      <x:c r="K21" s="12"/>
    </x:row>
    <x:row r="22">
      <x:c r="A22" s="10" t="str">
        <x:v>Efficiency of proportional vs SRS (%)</x:v>
      </x:c>
      <x:c r="B22" s="12" t="n">
        <x:f>$B$8/B20*100</x:f>
        <x:v>524.9585053503055</x:v>
      </x:c>
      <x:c r="C22" s="12"/>
      <x:c r="D22" s="12"/>
      <x:c r="E22" s="12"/>
      <x:c r="F22" s="12"/>
      <x:c r="G22" s="12"/>
      <x:c r="H22" s="12"/>
      <x:c r="I22" s="12"/>
      <x:c r="J22" s="12"/>
      <x:c r="K22" s="12"/>
    </x:row>
    <x:row r="23">
      <x:c r="A23" s="10" t="str">
        <x:v>Efficiency of optimum vs SRS (%)</x:v>
      </x:c>
      <x:c r="B23" s="12" t="n">
        <x:f>$B$8/B21*100</x:f>
        <x:v>1197.6101255779702</x:v>
      </x:c>
      <x:c r="C23" s="12"/>
      <x:c r="D23" s="12"/>
      <x:c r="E23" s="12"/>
      <x:c r="F23" s="12"/>
      <x:c r="G23" s="12"/>
      <x:c r="H23" s="12"/>
      <x:c r="I23" s="12"/>
      <x:c r="J23" s="12"/>
      <x:c r="K23" s="12"/>
    </x:row>
    <x:row r="26">
      <x:c r="A26" s="15" t="str">
        <x:v>Section 2: Written Practical Content</x:v>
      </x:c>
      <x:c r="B26" s="7"/>
      <x:c r="C26" s="7"/>
      <x:c r="D26" s="7"/>
      <x:c r="E26" s="7"/>
      <x:c r="F26" s="7"/>
      <x:c r="G26" s="7"/>
      <x:c r="H26" s="7"/>
      <x:c r="I26" s="7"/>
      <x:c r="J26" s="7"/>
    </x:row>
    <x:row r="27">
      <x:c r="A27" s="7"/>
      <x:c r="B27" s="7"/>
      <x:c r="C27" s="7"/>
      <x:c r="D27" s="7"/>
      <x:c r="E27" s="7"/>
      <x:c r="F27" s="7"/>
      <x:c r="G27" s="7"/>
      <x:c r="H27" s="7"/>
      <x:c r="I27" s="7"/>
      <x:c r="J27" s="7"/>
    </x:row>
    <x:row r="28">
      <x:c r="A28" s="15" t="str">
        <x:v>Aim</x:v>
      </x:c>
      <x:c r="B28" s="7" t="str">
        <x:v>To allocate samples by proportional and optimum allocation and compare the efficiency of the methods with SRSWOR.</x:v>
      </x:c>
      <x:c r="C28" s="7"/>
      <x:c r="D28" s="7"/>
      <x:c r="E28" s="7"/>
      <x:c r="F28" s="7"/>
      <x:c r="G28" s="7"/>
      <x:c r="H28" s="7"/>
      <x:c r="I28" s="7"/>
      <x:c r="J28" s="7"/>
    </x:row>
    <x:row r="29">
      <x:c r="A29" s="7"/>
      <x:c r="B29" s="7"/>
      <x:c r="C29" s="7"/>
      <x:c r="D29" s="7"/>
      <x:c r="E29" s="7"/>
      <x:c r="F29" s="7"/>
      <x:c r="G29" s="7"/>
      <x:c r="H29" s="7"/>
      <x:c r="I29" s="7"/>
      <x:c r="J29" s="7"/>
    </x:row>
    <x:row r="30">
      <x:c r="A30" s="15" t="str">
        <x:v>Experiment</x:v>
      </x:c>
      <x:c r="B30" s="7" t="str">
        <x:v>A sample of 500 units is allocated among six strata using the population sizes and N_i S_i values visible in the calculation page.</x:v>
      </x:c>
      <x:c r="C30" s="7"/>
      <x:c r="D30" s="7"/>
      <x:c r="E30" s="7"/>
      <x:c r="F30" s="7"/>
      <x:c r="G30" s="7"/>
      <x:c r="H30" s="7"/>
      <x:c r="I30" s="7"/>
      <x:c r="J30" s="7"/>
    </x:row>
    <x:row r="31">
      <x:c r="A31" s="7"/>
      <x:c r="B31" s="7"/>
      <x:c r="C31" s="7"/>
      <x:c r="D31" s="7"/>
      <x:c r="E31" s="7"/>
      <x:c r="F31" s="7"/>
      <x:c r="G31" s="7"/>
      <x:c r="H31" s="7"/>
      <x:c r="I31" s="7"/>
      <x:c r="J31" s="7"/>
    </x:row>
    <x:row r="32">
      <x:c r="A32" s="15" t="str">
        <x:v>Theory &amp; Formula</x:v>
      </x:c>
      <x:c r="B32" s="7" t="str">
        <x:v>Proportional allocation: n_i = n*N_i/N. Optimum allocation: n_i = n*N_i*S_i / ΣN_i*S_i. Variance formulas use p_i=N_i/N.</x:v>
      </x:c>
      <x:c r="C32" s="7"/>
      <x:c r="D32" s="7"/>
      <x:c r="E32" s="7"/>
      <x:c r="F32" s="7"/>
      <x:c r="G32" s="7"/>
      <x:c r="H32" s="7"/>
      <x:c r="I32" s="7"/>
      <x:c r="J32" s="7"/>
    </x:row>
    <x:row r="33">
      <x:c r="A33" s="7"/>
      <x:c r="B33" s="7"/>
      <x:c r="C33" s="7"/>
      <x:c r="D33" s="7"/>
      <x:c r="E33" s="7"/>
      <x:c r="F33" s="7"/>
      <x:c r="G33" s="7"/>
      <x:c r="H33" s="7"/>
      <x:c r="I33" s="7"/>
      <x:c r="J33" s="7"/>
    </x:row>
    <x:row r="34">
      <x:c r="A34" s="15" t="str">
        <x:v>Calculation Steps</x:v>
      </x:c>
      <x:c r="B34" s="7" t="str">
        <x:v>Enter N_i and N_iS_i. Calculate S_i using =N_iS_i/N_i, p_i using =N_i/N, proportional allocation using =n*N_i/N and optimum allocation using =n*N_iS_i/SUM(N_iS_i).</x:v>
      </x:c>
      <x:c r="C34" s="7"/>
      <x:c r="D34" s="7"/>
      <x:c r="E34" s="7"/>
      <x:c r="F34" s="7"/>
      <x:c r="G34" s="7"/>
      <x:c r="H34" s="7"/>
      <x:c r="I34" s="7"/>
      <x:c r="J34" s="7"/>
    </x:row>
    <x:row r="35">
      <x:c r="A35" s="7"/>
      <x:c r="B35" s="7"/>
      <x:c r="C35" s="7"/>
      <x:c r="D35" s="7"/>
      <x:c r="E35" s="7"/>
      <x:c r="F35" s="7"/>
      <x:c r="G35" s="7"/>
      <x:c r="H35" s="7"/>
      <x:c r="I35" s="7"/>
      <x:c r="J35" s="7"/>
    </x:row>
    <x:row r="36">
      <x:c r="A36" s="15" t="str">
        <x:v>Result</x:v>
      </x:c>
      <x:c r="B36" s="7" t="str">
        <x:v>The worksheet calculates the allocation sizes, variances and efficiency percentages using formulas.</x:v>
      </x:c>
      <x:c r="C36" s="7"/>
      <x:c r="D36" s="7"/>
      <x:c r="E36" s="7"/>
      <x:c r="F36" s="7"/>
      <x:c r="G36" s="7"/>
      <x:c r="H36" s="7"/>
      <x:c r="I36" s="7"/>
      <x:c r="J36" s="7"/>
    </x:row>
    <x:row r="37">
      <x:c r="A37" s="7"/>
      <x:c r="B37" s="7"/>
      <x:c r="C37" s="7"/>
      <x:c r="D37" s="7"/>
      <x:c r="E37" s="7"/>
      <x:c r="F37" s="7"/>
      <x:c r="G37" s="7"/>
      <x:c r="H37" s="7"/>
      <x:c r="I37" s="7"/>
      <x:c r="J37" s="7"/>
    </x:row>
    <x:row r="38">
      <x:c r="A38" s="15" t="str">
        <x:v>Conclusion</x:v>
      </x:c>
      <x:c r="B38" s="7" t="str">
        <x:v>Optimum allocation gives a smaller variance than proportional allocation for the given data.</x:v>
      </x:c>
      <x:c r="C38" s="7"/>
      <x:c r="D38" s="7"/>
      <x:c r="E38" s="7"/>
      <x:c r="F38" s="7"/>
      <x:c r="G38" s="7"/>
      <x:c r="H38" s="7"/>
      <x:c r="I38" s="7"/>
      <x:c r="J38" s="7"/>
    </x:row>
    <x:row r="39">
      <x:c r="A39" s="7"/>
      <x:c r="B39" s="7"/>
      <x:c r="C39" s="7"/>
      <x:c r="D39" s="7"/>
      <x:c r="E39" s="7"/>
      <x:c r="F39" s="7"/>
      <x:c r="G39" s="7"/>
      <x:c r="H39" s="7"/>
      <x:c r="I39" s="7"/>
      <x:c r="J39" s="7"/>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5 - Variance under proportional allocation</x:v>
      </x:c>
      <x:c r="B1" s="7"/>
      <x:c r="C1" s="7"/>
      <x:c r="D1" s="7"/>
      <x:c r="E1" s="7"/>
      <x:c r="F1" s="7"/>
      <x:c r="G1" s="7"/>
      <x:c r="H1" s="7"/>
      <x:c r="I1" s="7"/>
      <x:c r="J1" s="7"/>
      <x:c r="K1" s="7"/>
      <x:c r="L1" s="7"/>
      <x:c r="M1" s="7"/>
      <x:c r="N1" s="7"/>
    </x:row>
    <x:row r="3">
      <x:c r="A3" s="4" t="str">
        <x:v>Section 1: Excel Work</x:v>
      </x:c>
    </x:row>
    <x:row r="5">
      <x:c r="A5" s="4" t="str">
        <x:v>Input</x:v>
      </x:c>
      <x:c r="B5" s="11" t="str">
        <x:v>Formula/Value</x:v>
      </x:c>
      <x:c r="C5" s="12"/>
      <x:c r="D5" s="12"/>
      <x:c r="E5" s="12"/>
      <x:c r="F5" s="12"/>
      <x:c r="G5" s="12"/>
      <x:c r="H5" s="12"/>
      <x:c r="I5" s="12"/>
      <x:c r="J5" s="12"/>
    </x:row>
    <x:row r="6">
      <x:c r="A6" s="10" t="str">
        <x:v>Total population N</x:v>
      </x:c>
      <x:c r="B6" s="12" t="n">
        <x:f>SUM(B11:B12)</x:f>
        <x:v>300</x:v>
      </x:c>
      <x:c r="C6" s="12"/>
      <x:c r="D6" s="12"/>
      <x:c r="E6" s="12"/>
      <x:c r="F6" s="12"/>
      <x:c r="G6" s="12"/>
      <x:c r="H6" s="12"/>
      <x:c r="I6" s="12"/>
      <x:c r="J6" s="12"/>
    </x:row>
    <x:row r="7">
      <x:c r="A7" s="10" t="str">
        <x:v>Total sample size n</x:v>
      </x:c>
      <x:c r="B7" s="12" t="n">
        <x:v>30</x:v>
      </x:c>
      <x:c r="C7" s="12"/>
      <x:c r="D7" s="12"/>
      <x:c r="E7" s="12"/>
      <x:c r="F7" s="12"/>
      <x:c r="G7" s="12"/>
      <x:c r="H7" s="12"/>
      <x:c r="I7" s="12"/>
      <x:c r="J7" s="12"/>
    </x:row>
    <x:row r="8">
      <x:c r="B8" s="12"/>
      <x:c r="C8" s="12"/>
      <x:c r="D8" s="12"/>
      <x:c r="E8" s="12"/>
      <x:c r="F8" s="12"/>
      <x:c r="G8" s="12"/>
      <x:c r="H8" s="12"/>
      <x:c r="I8" s="12"/>
      <x:c r="J8" s="12"/>
    </x:row>
    <x:row r="9">
      <x:c r="B9" s="12"/>
      <x:c r="C9" s="12"/>
      <x:c r="D9" s="12"/>
      <x:c r="E9" s="12"/>
      <x:c r="F9" s="12"/>
      <x:c r="G9" s="12"/>
      <x:c r="H9" s="12"/>
      <x:c r="I9" s="12"/>
      <x:c r="J9" s="12"/>
    </x:row>
    <x:row r="10">
      <x:c r="A10" s="4" t="str">
        <x:v>College</x:v>
      </x:c>
      <x:c r="B10" s="11" t="str">
        <x:v>N_i</x:v>
      </x:c>
      <x:c r="C10" s="11" t="str">
        <x:v>Mean ybar_i</x:v>
      </x:c>
      <x:c r="D10" s="11" t="str">
        <x:v>sigma_i</x:v>
      </x:c>
      <x:c r="E10" s="11" t="str">
        <x:v>p_i</x:v>
      </x:c>
      <x:c r="F10" s="11" t="str">
        <x:v>n_i prop</x:v>
      </x:c>
      <x:c r="G10" s="11" t="str">
        <x:v>S_i²</x:v>
      </x:c>
      <x:c r="H10" s="11" t="str">
        <x:v>p_i*S_i²</x:v>
      </x:c>
      <x:c r="I10" s="11" t="str">
        <x:v>p_i*(ybar_i-ybar_st)^2</x:v>
      </x:c>
      <x:c r="J10" s="11" t="str">
        <x:v>p_i*ybar_i</x:v>
      </x:c>
    </x:row>
    <x:row r="11">
      <x:c r="A11" s="10" t="str">
        <x:v>A</x:v>
      </x:c>
      <x:c r="B11" s="12" t="n">
        <x:v>200</x:v>
      </x:c>
      <x:c r="C11" s="12" t="n">
        <x:v>30</x:v>
      </x:c>
      <x:c r="D11" s="12" t="n">
        <x:v>10</x:v>
      </x:c>
      <x:c r="E11" s="12" t="n">
        <x:f>B11/$B$6</x:f>
        <x:v>0.6666666666666666</x:v>
      </x:c>
      <x:c r="F11" s="12" t="n">
        <x:f>$B$7*B11/$B$6</x:f>
        <x:v>20</x:v>
      </x:c>
      <x:c r="G11" s="12" t="n">
        <x:f>B11/(B11-1)*D11^2</x:f>
        <x:v>100.50251256281406</x:v>
      </x:c>
      <x:c r="H11" s="12" t="n">
        <x:f>E11*G11</x:f>
        <x:v>67.00167504187604</x:v>
      </x:c>
      <x:c r="I11" s="12" t="n">
        <x:f>E11*(C11-$B$16)^2</x:f>
        <x:v>66.66666666666666</x:v>
      </x:c>
      <x:c r="J11" s="12" t="n">
        <x:f>E11*C11</x:f>
        <x:v>20</x:v>
      </x:c>
    </x:row>
    <x:row r="12">
      <x:c r="A12" s="10" t="str">
        <x:v>B</x:v>
      </x:c>
      <x:c r="B12" s="12" t="n">
        <x:v>100</x:v>
      </x:c>
      <x:c r="C12" s="12" t="n">
        <x:v>60</x:v>
      </x:c>
      <x:c r="D12" s="12" t="n">
        <x:v>40</x:v>
      </x:c>
      <x:c r="E12" s="12" t="n">
        <x:f>B12/$B$6</x:f>
        <x:v>0.3333333333333333</x:v>
      </x:c>
      <x:c r="F12" s="12" t="n">
        <x:f>$B$7*B12/$B$6</x:f>
        <x:v>10</x:v>
      </x:c>
      <x:c r="G12" s="12" t="n">
        <x:f>B12/(B12-1)*D12^2</x:f>
        <x:v>1616.1616161616162</x:v>
      </x:c>
      <x:c r="H12" s="12" t="n">
        <x:f>E12*G12</x:f>
        <x:v>538.7205387205387</x:v>
      </x:c>
      <x:c r="I12" s="12" t="n">
        <x:f>E12*(C12-$B$16)^2</x:f>
        <x:v>133.33333333333331</x:v>
      </x:c>
      <x:c r="J12" s="12" t="n">
        <x:f>E12*C12</x:f>
        <x:v>20</x:v>
      </x:c>
    </x:row>
    <x:row r="13">
      <x:c r="B13" s="12"/>
      <x:c r="C13" s="12"/>
      <x:c r="D13" s="12"/>
      <x:c r="E13" s="12"/>
      <x:c r="F13" s="12"/>
      <x:c r="G13" s="12"/>
      <x:c r="H13" s="12"/>
      <x:c r="I13" s="12"/>
      <x:c r="J13" s="12"/>
    </x:row>
    <x:row r="14">
      <x:c r="B14" s="12"/>
      <x:c r="C14" s="12"/>
      <x:c r="D14" s="12"/>
      <x:c r="E14" s="12"/>
      <x:c r="F14" s="12"/>
      <x:c r="G14" s="12"/>
      <x:c r="H14" s="12"/>
      <x:c r="I14" s="12"/>
      <x:c r="J14" s="12"/>
    </x:row>
    <x:row r="15">
      <x:c r="A15" s="4" t="str">
        <x:v>Summary</x:v>
      </x:c>
      <x:c r="B15" s="11" t="str">
        <x:v>Formula/Value</x:v>
      </x:c>
      <x:c r="C15" s="12"/>
      <x:c r="D15" s="12"/>
      <x:c r="E15" s="12"/>
      <x:c r="F15" s="12"/>
      <x:c r="G15" s="12"/>
      <x:c r="H15" s="12"/>
      <x:c r="I15" s="12"/>
      <x:c r="J15" s="12"/>
    </x:row>
    <x:row r="16">
      <x:c r="A16" s="10" t="str">
        <x:v>Stratified mean ybar_st</x:v>
      </x:c>
      <x:c r="B16" s="12" t="n">
        <x:f>SUM(J11:J12)</x:f>
        <x:v>40</x:v>
      </x:c>
      <x:c r="C16" s="12"/>
      <x:c r="D16" s="12"/>
      <x:c r="E16" s="12"/>
      <x:c r="F16" s="12"/>
      <x:c r="G16" s="12"/>
      <x:c r="H16" s="12"/>
      <x:c r="I16" s="12"/>
      <x:c r="J16" s="12"/>
    </x:row>
    <x:row r="17">
      <x:c r="A17" s="10" t="str">
        <x:v>V(ybar_st) proportional</x:v>
      </x:c>
      <x:c r="B17" s="12" t="n">
        <x:f>(1/$B$7-1/$B$6)*SUM(H11:H12)</x:f>
        <x:v>18.17166641287244</x:v>
      </x:c>
      <x:c r="C17" s="12"/>
      <x:c r="D17" s="12"/>
      <x:c r="E17" s="12"/>
      <x:c r="F17" s="12"/>
      <x:c r="G17" s="12"/>
      <x:c r="H17" s="12"/>
      <x:c r="I17" s="12"/>
      <x:c r="J17" s="12"/>
    </x:row>
    <x:row r="18">
      <x:c r="A18" s="10" t="str">
        <x:v>V(ybar) random/SRS</x:v>
      </x:c>
      <x:c r="B18" s="12" t="n">
        <x:f>B17+(1/$B$7-1/$B$6)*SUM(I11:I12)</x:f>
        <x:v>24.17166641287244</x:v>
      </x:c>
      <x:c r="C18" s="12"/>
      <x:c r="D18" s="12"/>
      <x:c r="E18" s="12"/>
      <x:c r="F18" s="12"/>
      <x:c r="G18" s="12"/>
      <x:c r="H18" s="12"/>
      <x:c r="I18" s="12"/>
      <x:c r="J18" s="12"/>
    </x:row>
    <x:row r="19">
      <x:c r="A19" s="10" t="str">
        <x:v>Relative efficiency random/prop (%)</x:v>
      </x:c>
      <x:c r="B19" s="12" t="n">
        <x:f>B18/B17*100</x:f>
        <x:v>133.01843575418994</x:v>
      </x:c>
      <x:c r="C19" s="12"/>
      <x:c r="D19" s="12"/>
      <x:c r="E19" s="12"/>
      <x:c r="F19" s="12"/>
      <x:c r="G19" s="12"/>
      <x:c r="H19" s="12"/>
      <x:c r="I19" s="12"/>
      <x:c r="J19" s="12"/>
    </x:row>
    <x:row r="22">
      <x:c r="A22" s="15" t="str">
        <x:v>Section 2: Written Practical Content</x:v>
      </x:c>
      <x:c r="B22" s="7"/>
      <x:c r="C22" s="7"/>
      <x:c r="D22" s="7"/>
      <x:c r="E22" s="7"/>
      <x:c r="F22" s="7"/>
      <x:c r="G22" s="7"/>
      <x:c r="H22" s="7"/>
      <x:c r="I22" s="7"/>
      <x:c r="J22" s="7"/>
    </x:row>
    <x:row r="23">
      <x:c r="A23" s="7"/>
      <x:c r="B23" s="7"/>
      <x:c r="C23" s="7"/>
      <x:c r="D23" s="7"/>
      <x:c r="E23" s="7"/>
      <x:c r="F23" s="7"/>
      <x:c r="G23" s="7"/>
      <x:c r="H23" s="7"/>
      <x:c r="I23" s="7"/>
      <x:c r="J23" s="7"/>
    </x:row>
    <x:row r="24">
      <x:c r="A24" s="15" t="str">
        <x:v>Aim</x:v>
      </x:c>
      <x:c r="B24" s="7" t="str">
        <x:v>To obtain the variance of the estimate of population mean and compare the efficiency with SRSWOR.</x:v>
      </x:c>
      <x:c r="C24" s="7"/>
      <x:c r="D24" s="7"/>
      <x:c r="E24" s="7"/>
      <x:c r="F24" s="7"/>
      <x:c r="G24" s="7"/>
      <x:c r="H24" s="7"/>
      <x:c r="I24" s="7"/>
      <x:c r="J24" s="7"/>
    </x:row>
    <x:row r="25">
      <x:c r="A25" s="7"/>
      <x:c r="B25" s="7"/>
      <x:c r="C25" s="7"/>
      <x:c r="D25" s="7"/>
      <x:c r="E25" s="7"/>
      <x:c r="F25" s="7"/>
      <x:c r="G25" s="7"/>
      <x:c r="H25" s="7"/>
      <x:c r="I25" s="7"/>
      <x:c r="J25" s="7"/>
    </x:row>
    <x:row r="26">
      <x:c r="A26" s="15" t="str">
        <x:v>Experiment</x:v>
      </x:c>
      <x:c r="B26" s="7" t="str">
        <x:v>A sample of 30 students is drawn from a population of 300 students belonging to colleges A and B. The provided means and standard deviations are used.</x:v>
      </x:c>
      <x:c r="C26" s="7"/>
      <x:c r="D26" s="7"/>
      <x:c r="E26" s="7"/>
      <x:c r="F26" s="7"/>
      <x:c r="G26" s="7"/>
      <x:c r="H26" s="7"/>
      <x:c r="I26" s="7"/>
      <x:c r="J26" s="7"/>
    </x:row>
    <x:row r="27">
      <x:c r="A27" s="7"/>
      <x:c r="B27" s="7"/>
      <x:c r="C27" s="7"/>
      <x:c r="D27" s="7"/>
      <x:c r="E27" s="7"/>
      <x:c r="F27" s="7"/>
      <x:c r="G27" s="7"/>
      <x:c r="H27" s="7"/>
      <x:c r="I27" s="7"/>
      <x:c r="J27" s="7"/>
    </x:row>
    <x:row r="28">
      <x:c r="A28" s="15" t="str">
        <x:v>Theory &amp; Formula</x:v>
      </x:c>
      <x:c r="B28" s="7" t="str">
        <x:v>p_i=N_i/N, n_i=n*N_i/N, S_i²=N_i/(N_i-1)*sigma_i² and V(ybar_st)=(1/n-1/N)Σp_iS_i².</x:v>
      </x:c>
      <x:c r="C28" s="7"/>
      <x:c r="D28" s="7"/>
      <x:c r="E28" s="7"/>
      <x:c r="F28" s="7"/>
      <x:c r="G28" s="7"/>
      <x:c r="H28" s="7"/>
      <x:c r="I28" s="7"/>
      <x:c r="J28" s="7"/>
    </x:row>
    <x:row r="29">
      <x:c r="A29" s="7"/>
      <x:c r="B29" s="7"/>
      <x:c r="C29" s="7"/>
      <x:c r="D29" s="7"/>
      <x:c r="E29" s="7"/>
      <x:c r="F29" s="7"/>
      <x:c r="G29" s="7"/>
      <x:c r="H29" s="7"/>
      <x:c r="I29" s="7"/>
      <x:c r="J29" s="7"/>
    </x:row>
    <x:row r="30">
      <x:c r="A30" s="15" t="str">
        <x:v>Calculation Steps</x:v>
      </x:c>
      <x:c r="B30" s="7" t="str">
        <x:v>Enter college-wise N_i, mean and sigma. Use formulas for p_i, proportional sample allocation, S_i², stratified variance and random sampling variance.</x:v>
      </x:c>
      <x:c r="C30" s="7"/>
      <x:c r="D30" s="7"/>
      <x:c r="E30" s="7"/>
      <x:c r="F30" s="7"/>
      <x:c r="G30" s="7"/>
      <x:c r="H30" s="7"/>
      <x:c r="I30" s="7"/>
      <x:c r="J30" s="7"/>
    </x:row>
    <x:row r="31">
      <x:c r="A31" s="7"/>
      <x:c r="B31" s="7"/>
      <x:c r="C31" s="7"/>
      <x:c r="D31" s="7"/>
      <x:c r="E31" s="7"/>
      <x:c r="F31" s="7"/>
      <x:c r="G31" s="7"/>
      <x:c r="H31" s="7"/>
      <x:c r="I31" s="7"/>
      <x:c r="J31" s="7"/>
    </x:row>
    <x:row r="32">
      <x:c r="A32" s="15" t="str">
        <x:v>Result</x:v>
      </x:c>
      <x:c r="B32" s="7" t="str">
        <x:v>The worksheet calculates n_i for each college and the variance comparison.</x:v>
      </x:c>
      <x:c r="C32" s="7"/>
      <x:c r="D32" s="7"/>
      <x:c r="E32" s="7"/>
      <x:c r="F32" s="7"/>
      <x:c r="G32" s="7"/>
      <x:c r="H32" s="7"/>
      <x:c r="I32" s="7"/>
      <x:c r="J32" s="7"/>
    </x:row>
    <x:row r="33">
      <x:c r="A33" s="7"/>
      <x:c r="B33" s="7"/>
      <x:c r="C33" s="7"/>
      <x:c r="D33" s="7"/>
      <x:c r="E33" s="7"/>
      <x:c r="F33" s="7"/>
      <x:c r="G33" s="7"/>
      <x:c r="H33" s="7"/>
      <x:c r="I33" s="7"/>
      <x:c r="J33" s="7"/>
    </x:row>
    <x:row r="34">
      <x:c r="A34" s="15" t="str">
        <x:v>Conclusion</x:v>
      </x:c>
      <x:c r="B34" s="7" t="str">
        <x:v>Proportional stratified sampling has lower variance than simple random sampling for the given data.</x:v>
      </x:c>
      <x:c r="C34" s="7"/>
      <x:c r="D34" s="7"/>
      <x:c r="E34" s="7"/>
      <x:c r="F34" s="7"/>
      <x:c r="G34" s="7"/>
      <x:c r="H34" s="7"/>
      <x:c r="I34" s="7"/>
      <x:c r="J34" s="7"/>
    </x:row>
    <x:row r="35">
      <x:c r="A35" s="7"/>
      <x:c r="B35" s="7"/>
      <x:c r="C35" s="7"/>
      <x:c r="D35" s="7"/>
      <x:c r="E35" s="7"/>
      <x:c r="F35" s="7"/>
      <x:c r="G35" s="7"/>
      <x:c r="H35" s="7"/>
      <x:c r="I35" s="7"/>
      <x:c r="J35" s="7"/>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6 - Estimate gain due to stratification</x:v>
      </x:c>
      <x:c r="B1" s="7"/>
      <x:c r="C1" s="7"/>
      <x:c r="D1" s="7"/>
      <x:c r="E1" s="7"/>
      <x:c r="F1" s="7"/>
      <x:c r="G1" s="7"/>
      <x:c r="H1" s="7"/>
      <x:c r="I1" s="7"/>
      <x:c r="J1" s="7"/>
      <x:c r="K1" s="7"/>
      <x:c r="L1" s="7"/>
      <x:c r="M1" s="7"/>
      <x:c r="N1" s="7"/>
    </x:row>
    <x:row r="3">
      <x:c r="A3" s="4" t="str">
        <x:v>Section 1: Excel Work</x:v>
      </x:c>
    </x:row>
    <x:row r="5">
      <x:c r="A5" s="4" t="str">
        <x:v>Input from practical calculation</x:v>
      </x:c>
      <x:c r="B5" s="11" t="str">
        <x:v>Value</x:v>
      </x:c>
    </x:row>
    <x:row r="6">
      <x:c r="A6" s="10" t="str">
        <x:v>Number of villages/block N</x:v>
      </x:c>
      <x:c r="B6" s="12" t="n">
        <x:v>55</x:v>
      </x:c>
    </x:row>
    <x:row r="7">
      <x:c r="A7" s="10" t="str">
        <x:v>Stratified mean ybar_st</x:v>
      </x:c>
      <x:c r="B7" s="12" t="n">
        <x:v>8.802</x:v>
      </x:c>
    </x:row>
    <x:row r="8">
      <x:c r="A8" s="10" t="str">
        <x:v>Variance V(ybar_st)</x:v>
      </x:c>
      <x:c r="B8" s="12" t="n">
        <x:v>0.1001538</x:v>
      </x:c>
    </x:row>
    <x:row r="9">
      <x:c r="A9" s="10" t="str">
        <x:v>Random variance V(ybar)_R</x:v>
      </x:c>
      <x:c r="B9" s="12" t="n">
        <x:v>0.103855</x:v>
      </x:c>
    </x:row>
    <x:row r="10">
      <x:c r="B10" s="12"/>
    </x:row>
    <x:row r="11">
      <x:c r="B11" s="12"/>
    </x:row>
    <x:row r="12">
      <x:c r="A12" s="4" t="str">
        <x:v>Calculation</x:v>
      </x:c>
      <x:c r="B12" s="11" t="str">
        <x:v>Formula/Value</x:v>
      </x:c>
    </x:row>
    <x:row r="13">
      <x:c r="A13" s="10" t="str">
        <x:v>Estimated total yield</x:v>
      </x:c>
      <x:c r="B13" s="12" t="n">
        <x:f>B6*B7</x:f>
        <x:v>484.10999999999996</x:v>
      </x:c>
    </x:row>
    <x:row r="14">
      <x:c r="A14" s="10" t="str">
        <x:v>SE of mean estimate</x:v>
      </x:c>
      <x:c r="B14" s="12" t="n">
        <x:f>SQRT(B8)</x:f>
        <x:v>0.3164708517383552</x:v>
      </x:c>
    </x:row>
    <x:row r="15">
      <x:c r="A15" s="10" t="str">
        <x:v>Variance of total estimate</x:v>
      </x:c>
      <x:c r="B15" s="12" t="n">
        <x:f>B6^2*B8</x:f>
        <x:v>302.965245</x:v>
      </x:c>
    </x:row>
    <x:row r="16">
      <x:c r="A16" s="10" t="str">
        <x:v>SE of total estimate</x:v>
      </x:c>
      <x:c r="B16" s="12" t="n">
        <x:f>SQRT(B15)</x:f>
        <x:v>17.405896845609536</x:v>
      </x:c>
    </x:row>
    <x:row r="17">
      <x:c r="A17" s="10" t="str">
        <x:v>Gain due to stratification (%)</x:v>
      </x:c>
      <x:c r="B17" s="12" t="n">
        <x:f>(B9-B8)/B8*100</x:f>
        <x:v>3.6955162959368506</x:v>
      </x:c>
    </x:row>
    <x:row r="20">
      <x:c r="A20" s="15" t="str">
        <x:v>Section 2: Written Practical Content</x:v>
      </x:c>
      <x:c r="B20" s="7"/>
      <x:c r="C20" s="7"/>
      <x:c r="D20" s="7"/>
      <x:c r="E20" s="7"/>
      <x:c r="F20" s="7"/>
      <x:c r="G20" s="7"/>
      <x:c r="H20" s="7"/>
      <x:c r="I20" s="7"/>
      <x:c r="J20" s="7"/>
    </x:row>
    <x:row r="21">
      <x:c r="A21" s="7"/>
      <x:c r="B21" s="7"/>
      <x:c r="C21" s="7"/>
      <x:c r="D21" s="7"/>
      <x:c r="E21" s="7"/>
      <x:c r="F21" s="7"/>
      <x:c r="G21" s="7"/>
      <x:c r="H21" s="7"/>
      <x:c r="I21" s="7"/>
      <x:c r="J21" s="7"/>
    </x:row>
    <x:row r="22">
      <x:c r="A22" s="15" t="str">
        <x:v>Aim</x:v>
      </x:c>
      <x:c r="B22" s="7" t="str">
        <x:v>To estimate gain due to stratification.</x:v>
      </x:c>
      <x:c r="C22" s="7"/>
      <x:c r="D22" s="7"/>
      <x:c r="E22" s="7"/>
      <x:c r="F22" s="7"/>
      <x:c r="G22" s="7"/>
      <x:c r="H22" s="7"/>
      <x:c r="I22" s="7"/>
      <x:c r="J22" s="7"/>
    </x:row>
    <x:row r="23">
      <x:c r="A23" s="7"/>
      <x:c r="B23" s="7"/>
      <x:c r="C23" s="7"/>
      <x:c r="D23" s="7"/>
      <x:c r="E23" s="7"/>
      <x:c r="F23" s="7"/>
      <x:c r="G23" s="7"/>
      <x:c r="H23" s="7"/>
      <x:c r="I23" s="7"/>
      <x:c r="J23" s="7"/>
    </x:row>
    <x:row r="24">
      <x:c r="A24" s="15" t="str">
        <x:v>Experiment</x:v>
      </x:c>
      <x:c r="B24" s="7" t="str">
        <x:v>The uploaded scan gives the final calculation values for a stratified sample of 10 villages and the block population size N=55.</x:v>
      </x:c>
      <x:c r="C24" s="7"/>
      <x:c r="D24" s="7"/>
      <x:c r="E24" s="7"/>
      <x:c r="F24" s="7"/>
      <x:c r="G24" s="7"/>
      <x:c r="H24" s="7"/>
      <x:c r="I24" s="7"/>
      <x:c r="J24" s="7"/>
    </x:row>
    <x:row r="25">
      <x:c r="A25" s="7"/>
      <x:c r="B25" s="7"/>
      <x:c r="C25" s="7"/>
      <x:c r="D25" s="7"/>
      <x:c r="E25" s="7"/>
      <x:c r="F25" s="7"/>
      <x:c r="G25" s="7"/>
      <x:c r="H25" s="7"/>
      <x:c r="I25" s="7"/>
      <x:c r="J25" s="7"/>
    </x:row>
    <x:row r="26">
      <x:c r="A26" s="15" t="str">
        <x:v>Theory &amp; Formula</x:v>
      </x:c>
      <x:c r="B26" s="7" t="str">
        <x:v>Estimated total = N*ybar_st. SE(ybar_st)=SQRT(V(ybar_st)). V(total)=N²V(ybar_st). Gain = [V(random)-V(stratified)]/V(stratified)*100.</x:v>
      </x:c>
      <x:c r="C26" s="7"/>
      <x:c r="D26" s="7"/>
      <x:c r="E26" s="7"/>
      <x:c r="F26" s="7"/>
      <x:c r="G26" s="7"/>
      <x:c r="H26" s="7"/>
      <x:c r="I26" s="7"/>
      <x:c r="J26" s="7"/>
    </x:row>
    <x:row r="27">
      <x:c r="A27" s="7"/>
      <x:c r="B27" s="7"/>
      <x:c r="C27" s="7"/>
      <x:c r="D27" s="7"/>
      <x:c r="E27" s="7"/>
      <x:c r="F27" s="7"/>
      <x:c r="G27" s="7"/>
      <x:c r="H27" s="7"/>
      <x:c r="I27" s="7"/>
      <x:c r="J27" s="7"/>
    </x:row>
    <x:row r="28">
      <x:c r="A28" s="15" t="str">
        <x:v>Calculation Steps</x:v>
      </x:c>
      <x:c r="B28" s="7" t="str">
        <x:v>Enter the summary values from the practical page. Use Excel formulas for total yield, standard errors and gain percentage.</x:v>
      </x:c>
      <x:c r="C28" s="7"/>
      <x:c r="D28" s="7"/>
      <x:c r="E28" s="7"/>
      <x:c r="F28" s="7"/>
      <x:c r="G28" s="7"/>
      <x:c r="H28" s="7"/>
      <x:c r="I28" s="7"/>
      <x:c r="J28" s="7"/>
    </x:row>
    <x:row r="29">
      <x:c r="A29" s="7"/>
      <x:c r="B29" s="7"/>
      <x:c r="C29" s="7"/>
      <x:c r="D29" s="7"/>
      <x:c r="E29" s="7"/>
      <x:c r="F29" s="7"/>
      <x:c r="G29" s="7"/>
      <x:c r="H29" s="7"/>
      <x:c r="I29" s="7"/>
      <x:c r="J29" s="7"/>
    </x:row>
    <x:row r="30">
      <x:c r="A30" s="15" t="str">
        <x:v>Result</x:v>
      </x:c>
      <x:c r="B30" s="7" t="str">
        <x:v>The worksheet computes total yield, standard errors and estimated gain from the provided calculation values.</x:v>
      </x:c>
      <x:c r="C30" s="7"/>
      <x:c r="D30" s="7"/>
      <x:c r="E30" s="7"/>
      <x:c r="F30" s="7"/>
      <x:c r="G30" s="7"/>
      <x:c r="H30" s="7"/>
      <x:c r="I30" s="7"/>
      <x:c r="J30" s="7"/>
    </x:row>
    <x:row r="31">
      <x:c r="A31" s="7"/>
      <x:c r="B31" s="7"/>
      <x:c r="C31" s="7"/>
      <x:c r="D31" s="7"/>
      <x:c r="E31" s="7"/>
      <x:c r="F31" s="7"/>
      <x:c r="G31" s="7"/>
      <x:c r="H31" s="7"/>
      <x:c r="I31" s="7"/>
      <x:c r="J31" s="7"/>
    </x:row>
    <x:row r="32">
      <x:c r="A32" s="15" t="str">
        <x:v>Conclusion</x:v>
      </x:c>
      <x:c r="B32" s="7" t="str">
        <x:v>Stratification provides a positive gain for the given calculation values.</x:v>
      </x:c>
      <x:c r="C32" s="7"/>
      <x:c r="D32" s="7"/>
      <x:c r="E32" s="7"/>
      <x:c r="F32" s="7"/>
      <x:c r="G32" s="7"/>
      <x:c r="H32" s="7"/>
      <x:c r="I32" s="7"/>
      <x:c r="J32" s="7"/>
    </x:row>
    <x:row r="33">
      <x:c r="A33" s="7"/>
      <x:c r="B33" s="7"/>
      <x:c r="C33" s="7"/>
      <x:c r="D33" s="7"/>
      <x:c r="E33" s="7"/>
      <x:c r="F33" s="7"/>
      <x:c r="G33" s="7"/>
      <x:c r="H33" s="7"/>
      <x:c r="I33" s="7"/>
      <x:c r="J33" s="7"/>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7 - Efficiency of systematic, SRS and stratified sampling</x:v>
      </x:c>
      <x:c r="B1" s="7"/>
      <x:c r="C1" s="7"/>
      <x:c r="D1" s="7"/>
      <x:c r="E1" s="7"/>
      <x:c r="F1" s="7"/>
      <x:c r="G1" s="7"/>
      <x:c r="H1" s="7"/>
      <x:c r="I1" s="7"/>
      <x:c r="J1" s="7"/>
      <x:c r="K1" s="7"/>
      <x:c r="L1" s="7"/>
      <x:c r="M1" s="7"/>
      <x:c r="N1" s="7"/>
    </x:row>
    <x:row r="3">
      <x:c r="A3" s="4" t="str">
        <x:v>Section 1: Excel Work</x:v>
      </x:c>
    </x:row>
    <x:row r="5">
      <x:c r="A5" s="4" t="str">
        <x:v>Strata</x:v>
      </x:c>
      <x:c r="B5" s="11" t="str">
        <x:v>Sample 1</x:v>
      </x:c>
      <x:c r="C5" s="11" t="str">
        <x:v>Sample 2</x:v>
      </x:c>
      <x:c r="D5" s="11" t="str">
        <x:v>Sample 3</x:v>
      </x:c>
      <x:c r="E5" s="11" t="str">
        <x:v>Sample 4</x:v>
      </x:c>
      <x:c r="F5" s="11" t="str">
        <x:v>Sample 5</x:v>
      </x:c>
      <x:c r="G5" s="11" t="str">
        <x:v>Sample 6</x:v>
      </x:c>
      <x:c r="H5" s="11" t="str">
        <x:v>Sample 7</x:v>
      </x:c>
      <x:c r="I5" s="11" t="str">
        <x:v>Sample 8</x:v>
      </x:c>
      <x:c r="J5" s="11" t="str">
        <x:v>Row total</x:v>
      </x:c>
      <x:c r="K5" s="11" t="str">
        <x:v>Row variance</x:v>
      </x:c>
    </x:row>
    <x:row r="6">
      <x:c r="A6" s="10" t="str">
        <x:v>A</x:v>
      </x:c>
      <x:c r="B6" s="12" t="n">
        <x:v>3</x:v>
      </x:c>
      <x:c r="C6" s="12" t="n">
        <x:v>4</x:v>
      </x:c>
      <x:c r="D6" s="12" t="n">
        <x:v>6</x:v>
      </x:c>
      <x:c r="E6" s="12" t="n">
        <x:v>8</x:v>
      </x:c>
      <x:c r="F6" s="12" t="n">
        <x:v>5</x:v>
      </x:c>
      <x:c r="G6" s="12" t="n">
        <x:v>4</x:v>
      </x:c>
      <x:c r="H6" s="12" t="n">
        <x:v>3</x:v>
      </x:c>
      <x:c r="I6" s="12" t="n">
        <x:v>1</x:v>
      </x:c>
      <x:c r="J6" s="12" t="n">
        <x:f>SUM(B6:I6)</x:f>
        <x:v>34</x:v>
      </x:c>
      <x:c r="K6" s="12" t="n">
        <x:f>VAR.S(B6:I6)</x:f>
        <x:v>4.5</x:v>
      </x:c>
    </x:row>
    <x:row r="7">
      <x:c r="A7" s="10" t="str">
        <x:v>B</x:v>
      </x:c>
      <x:c r="B7" s="12" t="n">
        <x:v>8</x:v>
      </x:c>
      <x:c r="C7" s="12" t="n">
        <x:v>11</x:v>
      </x:c>
      <x:c r="D7" s="12" t="n">
        <x:v>14</x:v>
      </x:c>
      <x:c r="E7" s="12" t="n">
        <x:v>16</x:v>
      </x:c>
      <x:c r="F7" s="12" t="n">
        <x:v>18</x:v>
      </x:c>
      <x:c r="G7" s="12" t="n">
        <x:v>20</x:v>
      </x:c>
      <x:c r="H7" s="12" t="n">
        <x:v>22</x:v>
      </x:c>
      <x:c r="I7" s="12" t="n">
        <x:v>24</x:v>
      </x:c>
      <x:c r="J7" s="12" t="n">
        <x:f>SUM(B7:I7)</x:f>
        <x:v>133</x:v>
      </x:c>
      <x:c r="K7" s="12" t="n">
        <x:f>VAR.S(B7:I7)</x:f>
        <x:v>29.982142857142858</x:v>
      </x:c>
    </x:row>
    <x:row r="8">
      <x:c r="A8" s="10" t="str">
        <x:v>C</x:v>
      </x:c>
      <x:c r="B8" s="12" t="n">
        <x:v>22</x:v>
      </x:c>
      <x:c r="C8" s="12" t="n">
        <x:v>21</x:v>
      </x:c>
      <x:c r="D8" s="12" t="n">
        <x:v>30</x:v>
      </x:c>
      <x:c r="E8" s="12" t="n">
        <x:v>29</x:v>
      </x:c>
      <x:c r="F8" s="12" t="n">
        <x:v>25</x:v>
      </x:c>
      <x:c r="G8" s="12" t="n">
        <x:v>26</x:v>
      </x:c>
      <x:c r="H8" s="12" t="n">
        <x:v>27</x:v>
      </x:c>
      <x:c r="I8" s="12" t="n">
        <x:v>35</x:v>
      </x:c>
      <x:c r="J8" s="12" t="n">
        <x:f>SUM(B8:I8)</x:f>
        <x:v>215</x:v>
      </x:c>
      <x:c r="K8" s="12" t="n">
        <x:f>VAR.S(B8:I8)</x:f>
        <x:v>20.410714285714285</x:v>
      </x:c>
    </x:row>
    <x:row r="9">
      <x:c r="A9" s="10" t="str">
        <x:v>D</x:v>
      </x:c>
      <x:c r="B9" s="12" t="n">
        <x:v>30</x:v>
      </x:c>
      <x:c r="C9" s="12" t="n">
        <x:v>25</x:v>
      </x:c>
      <x:c r="D9" s="12" t="n">
        <x:v>33</x:v>
      </x:c>
      <x:c r="E9" s="12" t="n">
        <x:v>41</x:v>
      </x:c>
      <x:c r="F9" s="12" t="n">
        <x:v>39</x:v>
      </x:c>
      <x:c r="G9" s="12" t="n">
        <x:v>37</x:v>
      </x:c>
      <x:c r="H9" s="12" t="n">
        <x:v>36</x:v>
      </x:c>
      <x:c r="I9" s="12" t="n">
        <x:v>40</x:v>
      </x:c>
      <x:c r="J9" s="12" t="n">
        <x:f>SUM(B9:I9)</x:f>
        <x:v>281</x:v>
      </x:c>
      <x:c r="K9" s="12" t="n">
        <x:f>VAR.S(B9:I9)</x:f>
        <x:v>30.125</x:v>
      </x:c>
    </x:row>
    <x:row r="10">
      <x:c r="A10" s="4" t="str">
        <x:v>Column total</x:v>
      </x:c>
      <x:c r="B10" s="12" t="n">
        <x:f>SUM(B6:B9)</x:f>
        <x:v>63</x:v>
      </x:c>
      <x:c r="C10" s="12" t="n">
        <x:f>SUM(C6:C9)</x:f>
        <x:v>61</x:v>
      </x:c>
      <x:c r="D10" s="12" t="n">
        <x:f>SUM(D6:D9)</x:f>
        <x:v>83</x:v>
      </x:c>
      <x:c r="E10" s="12" t="n">
        <x:f>SUM(E6:E9)</x:f>
        <x:v>94</x:v>
      </x:c>
      <x:c r="F10" s="12" t="n">
        <x:f>SUM(F6:F9)</x:f>
        <x:v>87</x:v>
      </x:c>
      <x:c r="G10" s="12" t="n">
        <x:f>SUM(G6:G9)</x:f>
        <x:v>87</x:v>
      </x:c>
      <x:c r="H10" s="12" t="n">
        <x:f>SUM(H6:H9)</x:f>
        <x:v>88</x:v>
      </x:c>
      <x:c r="I10" s="12" t="n">
        <x:f>SUM(I6:I9)</x:f>
        <x:v>100</x:v>
      </x:c>
      <x:c r="J10" s="12"/>
      <x:c r="K10" s="12"/>
    </x:row>
    <x:row r="11">
      <x:c r="A11" s="4" t="str">
        <x:v>Column mean</x:v>
      </x:c>
      <x:c r="B11" s="12" t="n">
        <x:f>B10/4</x:f>
        <x:v>15.75</x:v>
      </x:c>
      <x:c r="C11" s="12" t="n">
        <x:f>C10/4</x:f>
        <x:v>15.25</x:v>
      </x:c>
      <x:c r="D11" s="12" t="n">
        <x:f>D10/4</x:f>
        <x:v>20.75</x:v>
      </x:c>
      <x:c r="E11" s="12" t="n">
        <x:f>E10/4</x:f>
        <x:v>23.5</x:v>
      </x:c>
      <x:c r="F11" s="12" t="n">
        <x:f>F10/4</x:f>
        <x:v>21.75</x:v>
      </x:c>
      <x:c r="G11" s="12" t="n">
        <x:f>G10/4</x:f>
        <x:v>21.75</x:v>
      </x:c>
      <x:c r="H11" s="12" t="n">
        <x:f>H10/4</x:f>
        <x:v>22</x:v>
      </x:c>
      <x:c r="I11" s="12" t="n">
        <x:f>I10/4</x:f>
        <x:v>25</x:v>
      </x:c>
      <x:c r="J11" s="12"/>
      <x:c r="K11" s="12"/>
    </x:row>
    <x:row r="12">
      <x:c r="B12" s="12"/>
      <x:c r="C12" s="12"/>
      <x:c r="D12" s="12"/>
      <x:c r="E12" s="12"/>
      <x:c r="F12" s="12"/>
      <x:c r="G12" s="12"/>
      <x:c r="H12" s="12"/>
      <x:c r="I12" s="12"/>
      <x:c r="J12" s="12"/>
      <x:c r="K12" s="12"/>
    </x:row>
    <x:row r="13">
      <x:c r="B13" s="12"/>
      <x:c r="C13" s="12"/>
      <x:c r="D13" s="12"/>
      <x:c r="E13" s="12"/>
      <x:c r="F13" s="12"/>
      <x:c r="G13" s="12"/>
      <x:c r="H13" s="12"/>
      <x:c r="I13" s="12"/>
      <x:c r="J13" s="12"/>
      <x:c r="K13" s="12"/>
    </x:row>
    <x:row r="14">
      <x:c r="A14" s="4" t="str">
        <x:v>Input/Calculation</x:v>
      </x:c>
      <x:c r="B14" s="11" t="str">
        <x:v>Formula/Value</x:v>
      </x:c>
      <x:c r="C14" s="12"/>
      <x:c r="D14" s="12"/>
      <x:c r="E14" s="12"/>
      <x:c r="F14" s="12"/>
      <x:c r="G14" s="12"/>
      <x:c r="H14" s="12"/>
      <x:c r="I14" s="12"/>
      <x:c r="J14" s="12"/>
      <x:c r="K14" s="12"/>
    </x:row>
    <x:row r="15">
      <x:c r="A15" s="10" t="str">
        <x:v>Sample size n</x:v>
      </x:c>
      <x:c r="B15" s="12" t="n">
        <x:v>4</x:v>
      </x:c>
      <x:c r="C15" s="12"/>
      <x:c r="D15" s="12"/>
      <x:c r="E15" s="12"/>
      <x:c r="F15" s="12"/>
      <x:c r="G15" s="12"/>
      <x:c r="H15" s="12"/>
      <x:c r="I15" s="12"/>
      <x:c r="J15" s="12"/>
      <x:c r="K15" s="12"/>
    </x:row>
    <x:row r="16">
      <x:c r="A16" s="10" t="str">
        <x:v>Population size N</x:v>
      </x:c>
      <x:c r="B16" s="12" t="n">
        <x:v>32</x:v>
      </x:c>
      <x:c r="C16" s="12"/>
      <x:c r="D16" s="12"/>
      <x:c r="E16" s="12"/>
      <x:c r="F16" s="12"/>
      <x:c r="G16" s="12"/>
      <x:c r="H16" s="12"/>
      <x:c r="I16" s="12"/>
      <x:c r="J16" s="12"/>
      <x:c r="K16" s="12"/>
    </x:row>
    <x:row r="17">
      <x:c r="A17" s="10" t="str">
        <x:v>Grand mean</x:v>
      </x:c>
      <x:c r="B17" s="12" t="n">
        <x:f>AVERAGE(B6:I9)</x:f>
        <x:v>20.71875</x:v>
      </x:c>
      <x:c r="C17" s="12"/>
      <x:c r="D17" s="12"/>
      <x:c r="E17" s="12"/>
      <x:c r="F17" s="12"/>
      <x:c r="G17" s="12"/>
      <x:c r="H17" s="12"/>
      <x:c r="I17" s="12"/>
      <x:c r="J17" s="12"/>
      <x:c r="K17" s="12"/>
    </x:row>
    <x:row r="18">
      <x:c r="A18" s="10" t="str">
        <x:v>V(systematic)</x:v>
      </x:c>
      <x:c r="B18" s="12" t="n">
        <x:f>VAR.P(B11:I11)</x:f>
        <x:v>10.5537109375</x:v>
      </x:c>
      <x:c r="C18" s="12"/>
      <x:c r="D18" s="12"/>
      <x:c r="E18" s="12"/>
      <x:c r="F18" s="12"/>
      <x:c r="G18" s="12"/>
      <x:c r="H18" s="12"/>
      <x:c r="I18" s="12"/>
      <x:c r="J18" s="12"/>
      <x:c r="K18" s="12"/>
    </x:row>
    <x:row r="19">
      <x:c r="A19" s="10" t="str">
        <x:v>S² for SRS</x:v>
      </x:c>
      <x:c r="B19" s="12" t="n">
        <x:f>VAR.S(B6:I9)</x:f>
        <x:v>156.85383064516128</x:v>
      </x:c>
      <x:c r="C19" s="12"/>
      <x:c r="D19" s="12"/>
      <x:c r="E19" s="12"/>
      <x:c r="F19" s="12"/>
      <x:c r="G19" s="12"/>
      <x:c r="H19" s="12"/>
      <x:c r="I19" s="12"/>
      <x:c r="J19" s="12"/>
      <x:c r="K19" s="12"/>
    </x:row>
    <x:row r="20">
      <x:c r="A20" s="10" t="str">
        <x:v>V(SRS/random)</x:v>
      </x:c>
      <x:c r="B20" s="12" t="n">
        <x:f>(1/B15-1/B16)*B19</x:f>
        <x:v>34.31177545362903</x:v>
      </x:c>
      <x:c r="C20" s="12"/>
      <x:c r="D20" s="12"/>
      <x:c r="E20" s="12"/>
      <x:c r="F20" s="12"/>
      <x:c r="G20" s="12"/>
      <x:c r="H20" s="12"/>
      <x:c r="I20" s="12"/>
      <x:c r="J20" s="12"/>
      <x:c r="K20" s="12"/>
    </x:row>
    <x:row r="21">
      <x:c r="A21" s="10" t="str">
        <x:v>Pooled within-strata S²</x:v>
      </x:c>
      <x:c r="B21" s="12" t="n">
        <x:f>AVERAGE(K6:K9)</x:f>
        <x:v>21.254464285714285</x:v>
      </x:c>
      <x:c r="C21" s="12"/>
      <x:c r="D21" s="12"/>
      <x:c r="E21" s="12"/>
      <x:c r="F21" s="12"/>
      <x:c r="G21" s="12"/>
      <x:c r="H21" s="12"/>
      <x:c r="I21" s="12"/>
      <x:c r="J21" s="12"/>
      <x:c r="K21" s="12"/>
    </x:row>
    <x:row r="22">
      <x:c r="A22" s="10" t="str">
        <x:v>V(stratified)</x:v>
      </x:c>
      <x:c r="B22" s="12" t="n">
        <x:f>(1/B15-1/B16)*B21</x:f>
        <x:v>4.6494140625</x:v>
      </x:c>
      <x:c r="C22" s="12"/>
      <x:c r="D22" s="12"/>
      <x:c r="E22" s="12"/>
      <x:c r="F22" s="12"/>
      <x:c r="G22" s="12"/>
      <x:c r="H22" s="12"/>
      <x:c r="I22" s="12"/>
      <x:c r="J22" s="12"/>
      <x:c r="K22" s="12"/>
    </x:row>
    <x:row r="23">
      <x:c r="A23" s="10" t="str">
        <x:v>Most efficient scheme</x:v>
      </x:c>
      <x:c r="B23" s="12" t="str">
        <x:f>IF(B22&lt;B18,"Stratified sampling",IF(B18&lt;B20,"Systematic sampling","SRS"))</x:f>
        <x:v>Stratified sampling</x:v>
      </x:c>
      <x:c r="C23" s="12"/>
      <x:c r="D23" s="12"/>
      <x:c r="E23" s="12"/>
      <x:c r="F23" s="12"/>
      <x:c r="G23" s="12"/>
      <x:c r="H23" s="12"/>
      <x:c r="I23" s="12"/>
      <x:c r="J23" s="12"/>
      <x:c r="K23" s="12"/>
    </x:row>
    <x:row r="26">
      <x:c r="A26" s="15" t="str">
        <x:v>Section 2: Written Practical Content</x:v>
      </x:c>
      <x:c r="B26" s="7"/>
      <x:c r="C26" s="7"/>
      <x:c r="D26" s="7"/>
      <x:c r="E26" s="7"/>
      <x:c r="F26" s="7"/>
      <x:c r="G26" s="7"/>
      <x:c r="H26" s="7"/>
      <x:c r="I26" s="7"/>
      <x:c r="J26" s="7"/>
    </x:row>
    <x:row r="27">
      <x:c r="A27" s="7"/>
      <x:c r="B27" s="7"/>
      <x:c r="C27" s="7"/>
      <x:c r="D27" s="7"/>
      <x:c r="E27" s="7"/>
      <x:c r="F27" s="7"/>
      <x:c r="G27" s="7"/>
      <x:c r="H27" s="7"/>
      <x:c r="I27" s="7"/>
      <x:c r="J27" s="7"/>
    </x:row>
    <x:row r="28">
      <x:c r="A28" s="15" t="str">
        <x:v>Aim</x:v>
      </x:c>
      <x:c r="B28" s="7" t="str">
        <x:v>To find which sampling scheme is most efficient among systematic sampling, SRS and stratified random sampling.</x:v>
      </x:c>
      <x:c r="C28" s="7"/>
      <x:c r="D28" s="7"/>
      <x:c r="E28" s="7"/>
      <x:c r="F28" s="7"/>
      <x:c r="G28" s="7"/>
      <x:c r="H28" s="7"/>
      <x:c r="I28" s="7"/>
      <x:c r="J28" s="7"/>
    </x:row>
    <x:row r="29">
      <x:c r="A29" s="7"/>
      <x:c r="B29" s="7"/>
      <x:c r="C29" s="7"/>
      <x:c r="D29" s="7"/>
      <x:c r="E29" s="7"/>
      <x:c r="F29" s="7"/>
      <x:c r="G29" s="7"/>
      <x:c r="H29" s="7"/>
      <x:c r="I29" s="7"/>
      <x:c r="J29" s="7"/>
    </x:row>
    <x:row r="30">
      <x:c r="A30" s="15" t="str">
        <x:v>Experiment</x:v>
      </x:c>
      <x:c r="B30" s="7" t="str">
        <x:v>The data matrix represents four strata and eight possible systematic sample columns.</x:v>
      </x:c>
      <x:c r="C30" s="7"/>
      <x:c r="D30" s="7"/>
      <x:c r="E30" s="7"/>
      <x:c r="F30" s="7"/>
      <x:c r="G30" s="7"/>
      <x:c r="H30" s="7"/>
      <x:c r="I30" s="7"/>
      <x:c r="J30" s="7"/>
    </x:row>
    <x:row r="31">
      <x:c r="A31" s="7"/>
      <x:c r="B31" s="7"/>
      <x:c r="C31" s="7"/>
      <x:c r="D31" s="7"/>
      <x:c r="E31" s="7"/>
      <x:c r="F31" s="7"/>
      <x:c r="G31" s="7"/>
      <x:c r="H31" s="7"/>
      <x:c r="I31" s="7"/>
      <x:c r="J31" s="7"/>
    </x:row>
    <x:row r="32">
      <x:c r="A32" s="15" t="str">
        <x:v>Theory &amp; Formula</x:v>
      </x:c>
      <x:c r="B32" s="7" t="str">
        <x:v>V(systematic) is calculated from column means. V(SRS)=(1/n-1/N)S². V(stratified)=(1/n-1/N)S²_pws, where S²_pws is the pooled within-strata mean square.</x:v>
      </x:c>
      <x:c r="C32" s="7"/>
      <x:c r="D32" s="7"/>
      <x:c r="E32" s="7"/>
      <x:c r="F32" s="7"/>
      <x:c r="G32" s="7"/>
      <x:c r="H32" s="7"/>
      <x:c r="I32" s="7"/>
      <x:c r="J32" s="7"/>
    </x:row>
    <x:row r="33">
      <x:c r="A33" s="7"/>
      <x:c r="B33" s="7"/>
      <x:c r="C33" s="7"/>
      <x:c r="D33" s="7"/>
      <x:c r="E33" s="7"/>
      <x:c r="F33" s="7"/>
      <x:c r="G33" s="7"/>
      <x:c r="H33" s="7"/>
      <x:c r="I33" s="7"/>
      <x:c r="J33" s="7"/>
    </x:row>
    <x:row r="34">
      <x:c r="A34" s="15" t="str">
        <x:v>Calculation Steps</x:v>
      </x:c>
      <x:c r="B34" s="7" t="str">
        <x:v>Enter the data matrix. Calculate row totals, row variances, column totals, column means and then compare the three variances.</x:v>
      </x:c>
      <x:c r="C34" s="7"/>
      <x:c r="D34" s="7"/>
      <x:c r="E34" s="7"/>
      <x:c r="F34" s="7"/>
      <x:c r="G34" s="7"/>
      <x:c r="H34" s="7"/>
      <x:c r="I34" s="7"/>
      <x:c r="J34" s="7"/>
    </x:row>
    <x:row r="35">
      <x:c r="A35" s="7"/>
      <x:c r="B35" s="7"/>
      <x:c r="C35" s="7"/>
      <x:c r="D35" s="7"/>
      <x:c r="E35" s="7"/>
      <x:c r="F35" s="7"/>
      <x:c r="G35" s="7"/>
      <x:c r="H35" s="7"/>
      <x:c r="I35" s="7"/>
      <x:c r="J35" s="7"/>
    </x:row>
    <x:row r="36">
      <x:c r="A36" s="15" t="str">
        <x:v>Result</x:v>
      </x:c>
      <x:c r="B36" s="7" t="str">
        <x:v>The formula in the summary identifies the method with the smallest variance.</x:v>
      </x:c>
      <x:c r="C36" s="7"/>
      <x:c r="D36" s="7"/>
      <x:c r="E36" s="7"/>
      <x:c r="F36" s="7"/>
      <x:c r="G36" s="7"/>
      <x:c r="H36" s="7"/>
      <x:c r="I36" s="7"/>
      <x:c r="J36" s="7"/>
    </x:row>
    <x:row r="37">
      <x:c r="A37" s="7"/>
      <x:c r="B37" s="7"/>
      <x:c r="C37" s="7"/>
      <x:c r="D37" s="7"/>
      <x:c r="E37" s="7"/>
      <x:c r="F37" s="7"/>
      <x:c r="G37" s="7"/>
      <x:c r="H37" s="7"/>
      <x:c r="I37" s="7"/>
      <x:c r="J37" s="7"/>
    </x:row>
    <x:row r="38">
      <x:c r="A38" s="15" t="str">
        <x:v>Conclusion</x:v>
      </x:c>
      <x:c r="B38" s="7" t="str">
        <x:v>The sampling scheme with the smallest variance is the most efficient.</x:v>
      </x:c>
      <x:c r="C38" s="7"/>
      <x:c r="D38" s="7"/>
      <x:c r="E38" s="7"/>
      <x:c r="F38" s="7"/>
      <x:c r="G38" s="7"/>
      <x:c r="H38" s="7"/>
      <x:c r="I38" s="7"/>
      <x:c r="J38" s="7"/>
    </x:row>
    <x:row r="39">
      <x:c r="A39" s="7"/>
      <x:c r="B39" s="7"/>
      <x:c r="C39" s="7"/>
      <x:c r="D39" s="7"/>
      <x:c r="E39" s="7"/>
      <x:c r="F39" s="7"/>
      <x:c r="G39" s="7"/>
      <x:c r="H39" s="7"/>
      <x:c r="I39" s="7"/>
      <x:c r="J39" s="7"/>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8 - Ratio method estimate</x:v>
      </x:c>
      <x:c r="B1" s="7"/>
      <x:c r="C1" s="7"/>
      <x:c r="D1" s="7"/>
      <x:c r="E1" s="7"/>
      <x:c r="F1" s="7"/>
      <x:c r="G1" s="7"/>
      <x:c r="H1" s="7"/>
      <x:c r="I1" s="7"/>
      <x:c r="J1" s="7"/>
      <x:c r="K1" s="7"/>
      <x:c r="L1" s="7"/>
      <x:c r="M1" s="7"/>
      <x:c r="N1" s="7"/>
    </x:row>
    <x:row r="3">
      <x:c r="A3" s="4" t="str">
        <x:v>Section 1: Excel Work</x:v>
      </x:c>
    </x:row>
    <x:row r="5">
      <x:c r="A5" s="4" t="str">
        <x:v>Village</x:v>
      </x:c>
      <x:c r="B5" s="11" t="str">
        <x:v>Y: animals 1997-98</x:v>
      </x:c>
      <x:c r="C5" s="11" t="str">
        <x:v>X: animals 1996</x:v>
      </x:c>
      <x:c r="D5" s="11" t="str">
        <x:v>Y-ybar</x:v>
      </x:c>
      <x:c r="E5" s="11" t="str">
        <x:v>X-xbar</x:v>
      </x:c>
      <x:c r="F5" s="11" t="str">
        <x:v>(X-xbar)^2</x:v>
      </x:c>
      <x:c r="G5" s="11" t="str">
        <x:v>(Y-ybar)^2</x:v>
      </x:c>
      <x:c r="H5" s="11" t="str">
        <x:v>(X-xbar)(Y-ybar)</x:v>
      </x:c>
    </x:row>
    <x:row r="6">
      <x:c r="A6" s="10" t="n">
        <x:v>1</x:v>
      </x:c>
      <x:c r="B6" s="12" t="n">
        <x:v>500</x:v>
      </x:c>
      <x:c r="C6" s="12" t="n">
        <x:v>700</x:v>
      </x:c>
      <x:c r="D6" s="12" t="n">
        <x:f>B6-$B$31</x:f>
        <x:v>480</x:v>
      </x:c>
      <x:c r="E6" s="12" t="n">
        <x:f>C6-$B$30</x:f>
        <x:v>-88752</x:v>
      </x:c>
      <x:c r="F6" s="12" t="n">
        <x:f>E6^2</x:f>
        <x:v>7876917504</x:v>
      </x:c>
      <x:c r="G6" s="12" t="n">
        <x:f>D6^2</x:f>
        <x:v>230400</x:v>
      </x:c>
      <x:c r="H6" s="12" t="n">
        <x:f>D6*E6</x:f>
        <x:v>-42600960</x:v>
      </x:c>
    </x:row>
    <x:row r="7">
      <x:c r="A7" s="10" t="n">
        <x:v>2</x:v>
      </x:c>
      <x:c r="B7" s="12" t="n">
        <x:v>787</x:v>
      </x:c>
      <x:c r="C7" s="12" t="n">
        <x:v>951</x:v>
      </x:c>
      <x:c r="D7" s="12" t="n">
        <x:f>B7-$B$31</x:f>
        <x:v>767</x:v>
      </x:c>
      <x:c r="E7" s="12" t="n">
        <x:f>C7-$B$30</x:f>
        <x:v>-88501</x:v>
      </x:c>
      <x:c r="F7" s="12" t="n">
        <x:f>E7^2</x:f>
        <x:v>7832427001</x:v>
      </x:c>
      <x:c r="G7" s="12" t="n">
        <x:f>D7^2</x:f>
        <x:v>588289</x:v>
      </x:c>
      <x:c r="H7" s="12" t="n">
        <x:f>D7*E7</x:f>
        <x:v>-67880267</x:v>
      </x:c>
    </x:row>
    <x:row r="8">
      <x:c r="A8" s="10" t="n">
        <x:v>3</x:v>
      </x:c>
      <x:c r="B8" s="12" t="n">
        <x:v>431</x:v>
      </x:c>
      <x:c r="C8" s="12" t="n">
        <x:v>461</x:v>
      </x:c>
      <x:c r="D8" s="12" t="n">
        <x:f>B8-$B$31</x:f>
        <x:v>411</x:v>
      </x:c>
      <x:c r="E8" s="12" t="n">
        <x:f>C8-$B$30</x:f>
        <x:v>-88991</x:v>
      </x:c>
      <x:c r="F8" s="12" t="n">
        <x:f>E8^2</x:f>
        <x:v>7919398081</x:v>
      </x:c>
      <x:c r="G8" s="12" t="n">
        <x:f>D8^2</x:f>
        <x:v>168921</x:v>
      </x:c>
      <x:c r="H8" s="12" t="n">
        <x:f>D8*E8</x:f>
        <x:v>-36575301</x:v>
      </x:c>
    </x:row>
    <x:row r="9">
      <x:c r="A9" s="10" t="n">
        <x:v>4</x:v>
      </x:c>
      <x:c r="B9" s="12" t="n">
        <x:v>655</x:v>
      </x:c>
      <x:c r="C9" s="12" t="n">
        <x:v>908</x:v>
      </x:c>
      <x:c r="D9" s="12" t="n">
        <x:f>B9-$B$31</x:f>
        <x:v>635</x:v>
      </x:c>
      <x:c r="E9" s="12" t="n">
        <x:f>C9-$B$30</x:f>
        <x:v>-88544</x:v>
      </x:c>
      <x:c r="F9" s="12" t="n">
        <x:f>E9^2</x:f>
        <x:v>7840039936</x:v>
      </x:c>
      <x:c r="G9" s="12" t="n">
        <x:f>D9^2</x:f>
        <x:v>403225</x:v>
      </x:c>
      <x:c r="H9" s="12" t="n">
        <x:f>D9*E9</x:f>
        <x:v>-56225440</x:v>
      </x:c>
    </x:row>
    <x:row r="10">
      <x:c r="A10" s="10" t="n">
        <x:v>5</x:v>
      </x:c>
      <x:c r="B10" s="12" t="n">
        <x:v>690</x:v>
      </x:c>
      <x:c r="C10" s="12" t="n">
        <x:v>290</x:v>
      </x:c>
      <x:c r="D10" s="12" t="n">
        <x:f>B10-$B$31</x:f>
        <x:v>670</x:v>
      </x:c>
      <x:c r="E10" s="12" t="n">
        <x:f>C10-$B$30</x:f>
        <x:v>-89162</x:v>
      </x:c>
      <x:c r="F10" s="12" t="n">
        <x:f>E10^2</x:f>
        <x:v>7949862244</x:v>
      </x:c>
      <x:c r="G10" s="12" t="n">
        <x:f>D10^2</x:f>
        <x:v>448900</x:v>
      </x:c>
      <x:c r="H10" s="12" t="n">
        <x:f>D10*E10</x:f>
        <x:v>-59738540</x:v>
      </x:c>
    </x:row>
    <x:row r="11">
      <x:c r="A11" s="10" t="n">
        <x:v>6</x:v>
      </x:c>
      <x:c r="B11" s="12" t="n">
        <x:v>637</x:v>
      </x:c>
      <x:c r="C11" s="12" t="n">
        <x:v>687</x:v>
      </x:c>
      <x:c r="D11" s="12" t="n">
        <x:f>B11-$B$31</x:f>
        <x:v>617</x:v>
      </x:c>
      <x:c r="E11" s="12" t="n">
        <x:f>C11-$B$30</x:f>
        <x:v>-88765</x:v>
      </x:c>
      <x:c r="F11" s="12" t="n">
        <x:f>E11^2</x:f>
        <x:v>7879225225</x:v>
      </x:c>
      <x:c r="G11" s="12" t="n">
        <x:f>D11^2</x:f>
        <x:v>380689</x:v>
      </x:c>
      <x:c r="H11" s="12" t="n">
        <x:f>D11*E11</x:f>
        <x:v>-54768005</x:v>
      </x:c>
    </x:row>
    <x:row r="12">
      <x:c r="A12" s="10" t="n">
        <x:v>7</x:v>
      </x:c>
      <x:c r="B12" s="12" t="n">
        <x:v>1036</x:v>
      </x:c>
      <x:c r="C12" s="12" t="n">
        <x:v>707</x:v>
      </x:c>
      <x:c r="D12" s="12" t="n">
        <x:f>B12-$B$31</x:f>
        <x:v>1016</x:v>
      </x:c>
      <x:c r="E12" s="12" t="n">
        <x:f>C12-$B$30</x:f>
        <x:v>-88745</x:v>
      </x:c>
      <x:c r="F12" s="12" t="n">
        <x:f>E12^2</x:f>
        <x:v>7875675025</x:v>
      </x:c>
      <x:c r="G12" s="12" t="n">
        <x:f>D12^2</x:f>
        <x:v>1032256</x:v>
      </x:c>
      <x:c r="H12" s="12" t="n">
        <x:f>D12*E12</x:f>
        <x:v>-90164920</x:v>
      </x:c>
    </x:row>
    <x:row r="13">
      <x:c r="A13" s="10" t="n">
        <x:v>8</x:v>
      </x:c>
      <x:c r="B13" s="12" t="n">
        <x:v>914</x:v>
      </x:c>
      <x:c r="C13" s="12" t="n">
        <x:v>785</x:v>
      </x:c>
      <x:c r="D13" s="12" t="n">
        <x:f>B13-$B$31</x:f>
        <x:v>894</x:v>
      </x:c>
      <x:c r="E13" s="12" t="n">
        <x:f>C13-$B$30</x:f>
        <x:v>-88667</x:v>
      </x:c>
      <x:c r="F13" s="12" t="n">
        <x:f>E13^2</x:f>
        <x:v>7861836889</x:v>
      </x:c>
      <x:c r="G13" s="12" t="n">
        <x:f>D13^2</x:f>
        <x:v>799236</x:v>
      </x:c>
      <x:c r="H13" s="12" t="n">
        <x:f>D13*E13</x:f>
        <x:v>-79268298</x:v>
      </x:c>
    </x:row>
    <x:row r="14">
      <x:c r="A14" s="10" t="n">
        <x:v>9</x:v>
      </x:c>
      <x:c r="B14" s="12" t="n">
        <x:v>1103</x:v>
      </x:c>
      <x:c r="C14" s="12" t="n">
        <x:v>1519</x:v>
      </x:c>
      <x:c r="D14" s="12" t="n">
        <x:f>B14-$B$31</x:f>
        <x:v>1083</x:v>
      </x:c>
      <x:c r="E14" s="12" t="n">
        <x:f>C14-$B$30</x:f>
        <x:v>-87933</x:v>
      </x:c>
      <x:c r="F14" s="12" t="n">
        <x:f>E14^2</x:f>
        <x:v>7732212489</x:v>
      </x:c>
      <x:c r="G14" s="12" t="n">
        <x:f>D14^2</x:f>
        <x:v>1172889</x:v>
      </x:c>
      <x:c r="H14" s="12" t="n">
        <x:f>D14*E14</x:f>
        <x:v>-95231439</x:v>
      </x:c>
    </x:row>
    <x:row r="15">
      <x:c r="A15" s="10" t="n">
        <x:v>10</x:v>
      </x:c>
      <x:c r="B15" s="12" t="n">
        <x:v>517</x:v>
      </x:c>
      <x:c r="C15" s="12" t="n">
        <x:v>631</x:v>
      </x:c>
      <x:c r="D15" s="12" t="n">
        <x:f>B15-$B$31</x:f>
        <x:v>497</x:v>
      </x:c>
      <x:c r="E15" s="12" t="n">
        <x:f>C15-$B$30</x:f>
        <x:v>-88821</x:v>
      </x:c>
      <x:c r="F15" s="12" t="n">
        <x:f>E15^2</x:f>
        <x:v>7889170041</x:v>
      </x:c>
      <x:c r="G15" s="12" t="n">
        <x:f>D15^2</x:f>
        <x:v>247009</x:v>
      </x:c>
      <x:c r="H15" s="12" t="n">
        <x:f>D15*E15</x:f>
        <x:v>-44144037</x:v>
      </x:c>
    </x:row>
    <x:row r="16">
      <x:c r="A16" s="10" t="n">
        <x:v>11</x:v>
      </x:c>
      <x:c r="B16" s="12" t="n">
        <x:v>913</x:v>
      </x:c>
      <x:c r="C16" s="12" t="n">
        <x:v>1195</x:v>
      </x:c>
      <x:c r="D16" s="12" t="n">
        <x:f>B16-$B$31</x:f>
        <x:v>893</x:v>
      </x:c>
      <x:c r="E16" s="12" t="n">
        <x:f>C16-$B$30</x:f>
        <x:v>-88257</x:v>
      </x:c>
      <x:c r="F16" s="12" t="n">
        <x:f>E16^2</x:f>
        <x:v>7789298049</x:v>
      </x:c>
      <x:c r="G16" s="12" t="n">
        <x:f>D16^2</x:f>
        <x:v>797449</x:v>
      </x:c>
      <x:c r="H16" s="12" t="n">
        <x:f>D16*E16</x:f>
        <x:v>-78813501</x:v>
      </x:c>
    </x:row>
    <x:row r="17">
      <x:c r="A17" s="10" t="n">
        <x:v>12</x:v>
      </x:c>
      <x:c r="B17" s="12" t="n">
        <x:v>431</x:v>
      </x:c>
      <x:c r="C17" s="12" t="n">
        <x:v>256</x:v>
      </x:c>
      <x:c r="D17" s="12" t="n">
        <x:f>B17-$B$31</x:f>
        <x:v>411</x:v>
      </x:c>
      <x:c r="E17" s="12" t="n">
        <x:f>C17-$B$30</x:f>
        <x:v>-89196</x:v>
      </x:c>
      <x:c r="F17" s="12" t="n">
        <x:f>E17^2</x:f>
        <x:v>7955926416</x:v>
      </x:c>
      <x:c r="G17" s="12" t="n">
        <x:f>D17^2</x:f>
        <x:v>168921</x:v>
      </x:c>
      <x:c r="H17" s="12" t="n">
        <x:f>D17*E17</x:f>
        <x:v>-36659556</x:v>
      </x:c>
    </x:row>
    <x:row r="18">
      <x:c r="A18" s="10" t="n">
        <x:v>13</x:v>
      </x:c>
      <x:c r="B18" s="12" t="n">
        <x:v>276</x:v>
      </x:c>
      <x:c r="C18" s="12" t="n">
        <x:v>512</x:v>
      </x:c>
      <x:c r="D18" s="12" t="n">
        <x:f>B18-$B$31</x:f>
        <x:v>256</x:v>
      </x:c>
      <x:c r="E18" s="12" t="n">
        <x:f>C18-$B$30</x:f>
        <x:v>-88940</x:v>
      </x:c>
      <x:c r="F18" s="12" t="n">
        <x:f>E18^2</x:f>
        <x:v>7910323600</x:v>
      </x:c>
      <x:c r="G18" s="12" t="n">
        <x:f>D18^2</x:f>
        <x:v>65536</x:v>
      </x:c>
      <x:c r="H18" s="12" t="n">
        <x:f>D18*E18</x:f>
        <x:v>-22768640</x:v>
      </x:c>
    </x:row>
    <x:row r="19">
      <x:c r="A19" s="10" t="n">
        <x:v>14</x:v>
      </x:c>
      <x:c r="B19" s="12" t="n">
        <x:v>257</x:v>
      </x:c>
      <x:c r="C19" s="12" t="n">
        <x:v>304</x:v>
      </x:c>
      <x:c r="D19" s="12" t="n">
        <x:f>B19-$B$31</x:f>
        <x:v>237</x:v>
      </x:c>
      <x:c r="E19" s="12" t="n">
        <x:f>C19-$B$30</x:f>
        <x:v>-89148</x:v>
      </x:c>
      <x:c r="F19" s="12" t="n">
        <x:f>E19^2</x:f>
        <x:v>7947365904</x:v>
      </x:c>
      <x:c r="G19" s="12" t="n">
        <x:f>D19^2</x:f>
        <x:v>56169</x:v>
      </x:c>
      <x:c r="H19" s="12" t="n">
        <x:f>D19*E19</x:f>
        <x:v>-21128076</x:v>
      </x:c>
    </x:row>
    <x:row r="20">
      <x:c r="A20" s="10" t="n">
        <x:v>15</x:v>
      </x:c>
      <x:c r="B20" s="12" t="n">
        <x:v>206</x:v>
      </x:c>
      <x:c r="C20" s="12" t="n">
        <x:v>375</x:v>
      </x:c>
      <x:c r="D20" s="12" t="n">
        <x:f>B20-$B$31</x:f>
        <x:v>186</x:v>
      </x:c>
      <x:c r="E20" s="12" t="n">
        <x:f>C20-$B$30</x:f>
        <x:v>-89077</x:v>
      </x:c>
      <x:c r="F20" s="12" t="n">
        <x:f>E20^2</x:f>
        <x:v>7934711929</x:v>
      </x:c>
      <x:c r="G20" s="12" t="n">
        <x:f>D20^2</x:f>
        <x:v>34596</x:v>
      </x:c>
      <x:c r="H20" s="12" t="n">
        <x:f>D20*E20</x:f>
        <x:v>-16568322</x:v>
      </x:c>
    </x:row>
    <x:row r="21">
      <x:c r="A21" s="10" t="n">
        <x:v>16</x:v>
      </x:c>
      <x:c r="B21" s="12" t="n">
        <x:v>207</x:v>
      </x:c>
      <x:c r="C21" s="12" t="n">
        <x:v>222</x:v>
      </x:c>
      <x:c r="D21" s="12" t="n">
        <x:f>B21-$B$31</x:f>
        <x:v>187</x:v>
      </x:c>
      <x:c r="E21" s="12" t="n">
        <x:f>C21-$B$30</x:f>
        <x:v>-89230</x:v>
      </x:c>
      <x:c r="F21" s="12" t="n">
        <x:f>E21^2</x:f>
        <x:v>7961992900</x:v>
      </x:c>
      <x:c r="G21" s="12" t="n">
        <x:f>D21^2</x:f>
        <x:v>34969</x:v>
      </x:c>
      <x:c r="H21" s="12" t="n">
        <x:f>D21*E21</x:f>
        <x:v>-16686010</x:v>
      </x:c>
    </x:row>
    <x:row r="22">
      <x:c r="A22" s="10" t="n">
        <x:v>17</x:v>
      </x:c>
      <x:c r="B22" s="12" t="n">
        <x:v>396</x:v>
      </x:c>
      <x:c r="C22" s="12" t="n">
        <x:v>1126</x:v>
      </x:c>
      <x:c r="D22" s="12" t="n">
        <x:f>B22-$B$31</x:f>
        <x:v>376</x:v>
      </x:c>
      <x:c r="E22" s="12" t="n">
        <x:f>C22-$B$30</x:f>
        <x:v>-88326</x:v>
      </x:c>
      <x:c r="F22" s="12" t="n">
        <x:f>E22^2</x:f>
        <x:v>7801482276</x:v>
      </x:c>
      <x:c r="G22" s="12" t="n">
        <x:f>D22^2</x:f>
        <x:v>141376</x:v>
      </x:c>
      <x:c r="H22" s="12" t="n">
        <x:f>D22*E22</x:f>
        <x:v>-33210576</x:v>
      </x:c>
    </x:row>
    <x:row r="23">
      <x:c r="A23" s="10" t="n">
        <x:v>18</x:v>
      </x:c>
      <x:c r="B23" s="12" t="n">
        <x:v>858</x:v>
      </x:c>
      <x:c r="C23" s="12" t="n">
        <x:v>683</x:v>
      </x:c>
      <x:c r="D23" s="12" t="n">
        <x:f>B23-$B$31</x:f>
        <x:v>838</x:v>
      </x:c>
      <x:c r="E23" s="12" t="n">
        <x:f>C23-$B$30</x:f>
        <x:v>-88769</x:v>
      </x:c>
      <x:c r="F23" s="12" t="n">
        <x:f>E23^2</x:f>
        <x:v>7879935361</x:v>
      </x:c>
      <x:c r="G23" s="12" t="n">
        <x:f>D23^2</x:f>
        <x:v>702244</x:v>
      </x:c>
      <x:c r="H23" s="12" t="n">
        <x:f>D23*E23</x:f>
        <x:v>-74388422</x:v>
      </x:c>
    </x:row>
    <x:row r="24">
      <x:c r="A24" s="10" t="n">
        <x:v>19</x:v>
      </x:c>
      <x:c r="B24" s="12" t="n">
        <x:v>716</x:v>
      </x:c>
      <x:c r="C24" s="12" t="n">
        <x:v>906</x:v>
      </x:c>
      <x:c r="D24" s="12" t="n">
        <x:f>B24-$B$31</x:f>
        <x:v>696</x:v>
      </x:c>
      <x:c r="E24" s="12" t="n">
        <x:f>C24-$B$30</x:f>
        <x:v>-88546</x:v>
      </x:c>
      <x:c r="F24" s="12" t="n">
        <x:f>E24^2</x:f>
        <x:v>7840394116</x:v>
      </x:c>
      <x:c r="G24" s="12" t="n">
        <x:f>D24^2</x:f>
        <x:v>484416</x:v>
      </x:c>
      <x:c r="H24" s="12" t="n">
        <x:f>D24*E24</x:f>
        <x:v>-61628016</x:v>
      </x:c>
    </x:row>
    <x:row r="25">
      <x:c r="A25" s="10" t="n">
        <x:v>20</x:v>
      </x:c>
      <x:c r="B25" s="12" t="n">
        <x:v>512</x:v>
      </x:c>
      <x:c r="C25" s="12" t="n">
        <x:v>654</x:v>
      </x:c>
      <x:c r="D25" s="12" t="n">
        <x:f>B25-$B$31</x:f>
        <x:v>492</x:v>
      </x:c>
      <x:c r="E25" s="12" t="n">
        <x:f>C25-$B$30</x:f>
        <x:v>-88798</x:v>
      </x:c>
      <x:c r="F25" s="12" t="n">
        <x:f>E25^2</x:f>
        <x:v>7885084804</x:v>
      </x:c>
      <x:c r="G25" s="12" t="n">
        <x:f>D25^2</x:f>
        <x:v>242064</x:v>
      </x:c>
      <x:c r="H25" s="12" t="n">
        <x:f>D25*E25</x:f>
        <x:v>-43688616</x:v>
      </x:c>
    </x:row>
    <x:row r="26">
      <x:c r="B26" s="12"/>
      <x:c r="C26" s="12"/>
      <x:c r="D26" s="12"/>
      <x:c r="E26" s="12"/>
      <x:c r="F26" s="12"/>
      <x:c r="G26" s="12"/>
      <x:c r="H26" s="12"/>
    </x:row>
    <x:row r="27">
      <x:c r="B27" s="12"/>
      <x:c r="C27" s="12"/>
      <x:c r="D27" s="12"/>
      <x:c r="E27" s="12"/>
      <x:c r="F27" s="12"/>
      <x:c r="G27" s="12"/>
      <x:c r="H27" s="12"/>
    </x:row>
    <x:row r="28">
      <x:c r="A28" s="4" t="str">
        <x:v>Input/Calculation</x:v>
      </x:c>
      <x:c r="B28" s="11" t="str">
        <x:v>Formula/Value</x:v>
      </x:c>
      <x:c r="C28" s="12"/>
      <x:c r="D28" s="12"/>
      <x:c r="E28" s="12"/>
      <x:c r="F28" s="12"/>
      <x:c r="G28" s="12"/>
      <x:c r="H28" s="12"/>
    </x:row>
    <x:row r="29">
      <x:c r="A29" s="10" t="str">
        <x:v>Population size N</x:v>
      </x:c>
      <x:c r="B29" s="12" t="n">
        <x:v>120</x:v>
      </x:c>
      <x:c r="C29" s="12"/>
      <x:c r="D29" s="12"/>
      <x:c r="E29" s="12"/>
      <x:c r="F29" s="12"/>
      <x:c r="G29" s="12"/>
      <x:c r="H29" s="12"/>
    </x:row>
    <x:row r="30">
      <x:c r="A30" s="10" t="str">
        <x:v>Known total X</x:v>
      </x:c>
      <x:c r="B30" s="12" t="n">
        <x:v>89452</x:v>
      </x:c>
      <x:c r="C30" s="12"/>
      <x:c r="D30" s="12"/>
      <x:c r="E30" s="12"/>
      <x:c r="F30" s="12"/>
      <x:c r="G30" s="12"/>
      <x:c r="H30" s="12"/>
    </x:row>
    <x:row r="31">
      <x:c r="A31" s="10" t="str">
        <x:v>n</x:v>
      </x:c>
      <x:c r="B31" s="12" t="n">
        <x:f>COUNT(B6:B25)</x:f>
        <x:v>20</x:v>
      </x:c>
      <x:c r="C31" s="12"/>
      <x:c r="D31" s="12"/>
      <x:c r="E31" s="12"/>
      <x:c r="F31" s="12"/>
      <x:c r="G31" s="12"/>
      <x:c r="H31" s="12"/>
    </x:row>
    <x:row r="32">
      <x:c r="A32" s="10" t="str">
        <x:v>xbar</x:v>
      </x:c>
      <x:c r="B32" s="12" t="n">
        <x:f>AVERAGE(C6:C25)</x:f>
        <x:v>693.6</x:v>
      </x:c>
      <x:c r="C32" s="12"/>
      <x:c r="D32" s="12"/>
      <x:c r="E32" s="12"/>
      <x:c r="F32" s="12"/>
      <x:c r="G32" s="12"/>
      <x:c r="H32" s="12"/>
    </x:row>
    <x:row r="33">
      <x:c r="A33" s="10" t="str">
        <x:v>ybar</x:v>
      </x:c>
      <x:c r="B33" s="12" t="n">
        <x:f>AVERAGE(B6:B25)</x:f>
        <x:v>602.1</x:v>
      </x:c>
      <x:c r="C33" s="12"/>
      <x:c r="D33" s="12"/>
      <x:c r="E33" s="12"/>
      <x:c r="F33" s="12"/>
      <x:c r="G33" s="12"/>
      <x:c r="H33" s="12"/>
    </x:row>
    <x:row r="34">
      <x:c r="A34" s="10" t="str">
        <x:v>R=ybar/xbar</x:v>
      </x:c>
      <x:c r="B34" s="12" t="n">
        <x:f>B33/B32</x:f>
        <x:v>0.8680795847750865</x:v>
      </x:c>
      <x:c r="C34" s="12"/>
      <x:c r="D34" s="12"/>
      <x:c r="E34" s="12"/>
      <x:c r="F34" s="12"/>
      <x:c r="G34" s="12"/>
      <x:c r="H34" s="12"/>
    </x:row>
    <x:row r="35">
      <x:c r="A35" s="10" t="str">
        <x:v>Sx²</x:v>
      </x:c>
      <x:c r="B35" s="12" t="n">
        <x:f>SUM(F6:F25)/(B31-1)</x:f>
        <x:v>8292804199.473684</x:v>
      </x:c>
      <x:c r="C35" s="12"/>
      <x:c r="D35" s="12"/>
      <x:c r="E35" s="12"/>
      <x:c r="F35" s="12"/>
      <x:c r="G35" s="12"/>
      <x:c r="H35" s="12"/>
    </x:row>
    <x:row r="36">
      <x:c r="A36" s="10" t="str">
        <x:v>Sy²</x:v>
      </x:c>
      <x:c r="B36" s="12" t="n">
        <x:f>SUM(G6:G25)/(B31-1)</x:f>
        <x:v>431555.4736842105</x:v>
      </x:c>
      <x:c r="C36" s="12"/>
      <x:c r="D36" s="12"/>
      <x:c r="E36" s="12"/>
      <x:c r="F36" s="12"/>
      <x:c r="G36" s="12"/>
      <x:c r="H36" s="12"/>
    </x:row>
    <x:row r="37">
      <x:c r="A37" s="10" t="str">
        <x:v>Sxy</x:v>
      </x:c>
      <x:c r="B37" s="12" t="n">
        <x:f>SUM(H6:H25)/(B31-1)</x:f>
        <x:v>-54322996.94736842</x:v>
      </x:c>
      <x:c r="C37" s="12"/>
      <x:c r="D37" s="12"/>
      <x:c r="E37" s="12"/>
      <x:c r="F37" s="12"/>
      <x:c r="G37" s="12"/>
      <x:c r="H37" s="12"/>
    </x:row>
    <x:row r="38">
      <x:c r="A38" s="10" t="str">
        <x:v>V(ybar_R)</x:v>
      </x:c>
      <x:c r="B38" s="12" t="n">
        <x:f>(1/B31-1/B29)*(B34^2*B35+B36-2*B34*B37)</x:f>
        <x:v>264328683.9746435</x:v>
      </x:c>
      <x:c r="C38" s="12"/>
      <x:c r="D38" s="12"/>
      <x:c r="E38" s="12"/>
      <x:c r="F38" s="12"/>
      <x:c r="G38" s="12"/>
      <x:c r="H38" s="12"/>
    </x:row>
    <x:row r="39">
      <x:c r="A39" s="10" t="str">
        <x:v>V(total ratio)</x:v>
      </x:c>
      <x:c r="B39" s="12" t="n">
        <x:f>B29^2*B38</x:f>
        <x:v>3806333049234.866</x:v>
      </x:c>
      <x:c r="C39" s="12"/>
      <x:c r="D39" s="12"/>
      <x:c r="E39" s="12"/>
      <x:c r="F39" s="12"/>
      <x:c r="G39" s="12"/>
      <x:c r="H39" s="12"/>
    </x:row>
    <x:row r="40">
      <x:c r="A40" s="10" t="str">
        <x:v>V(SRS ybar)</x:v>
      </x:c>
      <x:c r="B40" s="12" t="n">
        <x:f>(1/B31-1/B29)*B36</x:f>
        <x:v>17981.47807017544</x:v>
      </x:c>
      <x:c r="C40" s="12"/>
      <x:c r="D40" s="12"/>
      <x:c r="E40" s="12"/>
      <x:c r="F40" s="12"/>
      <x:c r="G40" s="12"/>
      <x:c r="H40" s="12"/>
    </x:row>
    <x:row r="41">
      <x:c r="A41" s="10" t="str">
        <x:v>Estimated total Y_R</x:v>
      </x:c>
      <x:c r="B41" s="12" t="n">
        <x:f>B34*B30</x:f>
        <x:v>77651.45501730104</x:v>
      </x:c>
      <x:c r="C41" s="12"/>
      <x:c r="D41" s="12"/>
      <x:c r="E41" s="12"/>
      <x:c r="F41" s="12"/>
      <x:c r="G41" s="12"/>
      <x:c r="H41" s="12"/>
    </x:row>
    <x:row r="42">
      <x:c r="A42" s="10" t="str">
        <x:v>Efficiency over SRS (%)</x:v>
      </x:c>
      <x:c r="B42" s="12" t="n">
        <x:f>(B40-B38)/B38*100</x:f>
        <x:v>-99.99319730352386</x:v>
      </x:c>
      <x:c r="C42" s="12"/>
      <x:c r="D42" s="12"/>
      <x:c r="E42" s="12"/>
      <x:c r="F42" s="12"/>
      <x:c r="G42" s="12"/>
      <x:c r="H42" s="12"/>
    </x:row>
    <x:row r="45">
      <x:c r="A45" s="15" t="str">
        <x:v>Section 2: Written Practical Content</x:v>
      </x:c>
      <x:c r="B45" s="7"/>
      <x:c r="C45" s="7"/>
      <x:c r="D45" s="7"/>
      <x:c r="E45" s="7"/>
      <x:c r="F45" s="7"/>
      <x:c r="G45" s="7"/>
      <x:c r="H45" s="7"/>
      <x:c r="I45" s="7"/>
      <x:c r="J45" s="7"/>
    </x:row>
    <x:row r="46">
      <x:c r="A46" s="7"/>
      <x:c r="B46" s="7"/>
      <x:c r="C46" s="7"/>
      <x:c r="D46" s="7"/>
      <x:c r="E46" s="7"/>
      <x:c r="F46" s="7"/>
      <x:c r="G46" s="7"/>
      <x:c r="H46" s="7"/>
      <x:c r="I46" s="7"/>
      <x:c r="J46" s="7"/>
    </x:row>
    <x:row r="47">
      <x:c r="A47" s="15" t="str">
        <x:v>Aim</x:v>
      </x:c>
      <x:c r="B47" s="7" t="str">
        <x:v>To estimate the total number of animals using the ratio method.</x:v>
      </x:c>
      <x:c r="C47" s="7"/>
      <x:c r="D47" s="7"/>
      <x:c r="E47" s="7"/>
      <x:c r="F47" s="7"/>
      <x:c r="G47" s="7"/>
      <x:c r="H47" s="7"/>
      <x:c r="I47" s="7"/>
      <x:c r="J47" s="7"/>
    </x:row>
    <x:row r="48">
      <x:c r="A48" s="7"/>
      <x:c r="B48" s="7"/>
      <x:c r="C48" s="7"/>
      <x:c r="D48" s="7"/>
      <x:c r="E48" s="7"/>
      <x:c r="F48" s="7"/>
      <x:c r="G48" s="7"/>
      <x:c r="H48" s="7"/>
      <x:c r="I48" s="7"/>
      <x:c r="J48" s="7"/>
    </x:row>
    <x:row r="49">
      <x:c r="A49" s="15" t="str">
        <x:v>Experiment</x:v>
      </x:c>
      <x:c r="B49" s="7" t="str">
        <x:v>Twenty selected villages give animals in 1997-98 (Y) and 1996 (X). The known total X for the population is used for ratio estimation.</x:v>
      </x:c>
      <x:c r="C49" s="7"/>
      <x:c r="D49" s="7"/>
      <x:c r="E49" s="7"/>
      <x:c r="F49" s="7"/>
      <x:c r="G49" s="7"/>
      <x:c r="H49" s="7"/>
      <x:c r="I49" s="7"/>
      <x:c r="J49" s="7"/>
    </x:row>
    <x:row r="50">
      <x:c r="A50" s="7"/>
      <x:c r="B50" s="7"/>
      <x:c r="C50" s="7"/>
      <x:c r="D50" s="7"/>
      <x:c r="E50" s="7"/>
      <x:c r="F50" s="7"/>
      <x:c r="G50" s="7"/>
      <x:c r="H50" s="7"/>
      <x:c r="I50" s="7"/>
      <x:c r="J50" s="7"/>
    </x:row>
    <x:row r="51">
      <x:c r="A51" s="15" t="str">
        <x:v>Theory &amp; Formula</x:v>
      </x:c>
      <x:c r="B51" s="7" t="str">
        <x:v>R=ybar/xbar. Estimated total Y_R=R*X. V(ybar_R)=(1/n-1/N)(R²Sx²+Sy²-2RSxy).</x:v>
      </x:c>
      <x:c r="C51" s="7"/>
      <x:c r="D51" s="7"/>
      <x:c r="E51" s="7"/>
      <x:c r="F51" s="7"/>
      <x:c r="G51" s="7"/>
      <x:c r="H51" s="7"/>
      <x:c r="I51" s="7"/>
      <x:c r="J51" s="7"/>
    </x:row>
    <x:row r="52">
      <x:c r="A52" s="7"/>
      <x:c r="B52" s="7"/>
      <x:c r="C52" s="7"/>
      <x:c r="D52" s="7"/>
      <x:c r="E52" s="7"/>
      <x:c r="F52" s="7"/>
      <x:c r="G52" s="7"/>
      <x:c r="H52" s="7"/>
      <x:c r="I52" s="7"/>
      <x:c r="J52" s="7"/>
    </x:row>
    <x:row r="53">
      <x:c r="A53" s="15" t="str">
        <x:v>Calculation Steps</x:v>
      </x:c>
      <x:c r="B53" s="7" t="str">
        <x:v>Enter village-wise X and Y. Calculate deviations, Sx², Sy², Sxy, R, the ratio estimate and variance using formulas.</x:v>
      </x:c>
      <x:c r="C53" s="7"/>
      <x:c r="D53" s="7"/>
      <x:c r="E53" s="7"/>
      <x:c r="F53" s="7"/>
      <x:c r="G53" s="7"/>
      <x:c r="H53" s="7"/>
      <x:c r="I53" s="7"/>
      <x:c r="J53" s="7"/>
    </x:row>
    <x:row r="54">
      <x:c r="A54" s="7"/>
      <x:c r="B54" s="7"/>
      <x:c r="C54" s="7"/>
      <x:c r="D54" s="7"/>
      <x:c r="E54" s="7"/>
      <x:c r="F54" s="7"/>
      <x:c r="G54" s="7"/>
      <x:c r="H54" s="7"/>
      <x:c r="I54" s="7"/>
      <x:c r="J54" s="7"/>
    </x:row>
    <x:row r="55">
      <x:c r="A55" s="15" t="str">
        <x:v>Result</x:v>
      </x:c>
      <x:c r="B55" s="7" t="str">
        <x:v>The worksheet estimates total animals and compares variance with SRS.</x:v>
      </x:c>
      <x:c r="C55" s="7"/>
      <x:c r="D55" s="7"/>
      <x:c r="E55" s="7"/>
      <x:c r="F55" s="7"/>
      <x:c r="G55" s="7"/>
      <x:c r="H55" s="7"/>
      <x:c r="I55" s="7"/>
      <x:c r="J55" s="7"/>
    </x:row>
    <x:row r="56">
      <x:c r="A56" s="7"/>
      <x:c r="B56" s="7"/>
      <x:c r="C56" s="7"/>
      <x:c r="D56" s="7"/>
      <x:c r="E56" s="7"/>
      <x:c r="F56" s="7"/>
      <x:c r="G56" s="7"/>
      <x:c r="H56" s="7"/>
      <x:c r="I56" s="7"/>
      <x:c r="J56" s="7"/>
    </x:row>
    <x:row r="57">
      <x:c r="A57" s="15" t="str">
        <x:v>Conclusion</x:v>
      </x:c>
      <x:c r="B57" s="7" t="str">
        <x:v>If V(ybar_R) is less than V(SRS), the ratio method is more efficient than SRS.</x:v>
      </x:c>
      <x:c r="C57" s="7"/>
      <x:c r="D57" s="7"/>
      <x:c r="E57" s="7"/>
      <x:c r="F57" s="7"/>
      <x:c r="G57" s="7"/>
      <x:c r="H57" s="7"/>
      <x:c r="I57" s="7"/>
      <x:c r="J57" s="7"/>
    </x:row>
    <x:row r="58">
      <x:c r="A58" s="7"/>
      <x:c r="B58" s="7"/>
      <x:c r="C58" s="7"/>
      <x:c r="D58" s="7"/>
      <x:c r="E58" s="7"/>
      <x:c r="F58" s="7"/>
      <x:c r="G58" s="7"/>
      <x:c r="H58" s="7"/>
      <x:c r="I58" s="7"/>
      <x:c r="J58" s="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9 - Regression method estimate</x:v>
      </x:c>
      <x:c r="B1" s="7"/>
      <x:c r="C1" s="7"/>
      <x:c r="D1" s="7"/>
      <x:c r="E1" s="7"/>
      <x:c r="F1" s="7"/>
      <x:c r="G1" s="7"/>
      <x:c r="H1" s="7"/>
      <x:c r="I1" s="7"/>
      <x:c r="J1" s="7"/>
      <x:c r="K1" s="7"/>
      <x:c r="L1" s="7"/>
      <x:c r="M1" s="7"/>
      <x:c r="N1" s="7"/>
    </x:row>
    <x:row r="3">
      <x:c r="A3" s="4" t="str">
        <x:v>Section 1: Excel Work</x:v>
      </x:c>
    </x:row>
    <x:row r="5">
      <x:c r="A5" s="4" t="str">
        <x:v>Village</x:v>
      </x:c>
      <x:c r="B5" s="11" t="str">
        <x:v>Y: orange trees</x:v>
      </x:c>
      <x:c r="C5" s="11" t="str">
        <x:v>X: area under orange orchard</x:v>
      </x:c>
      <x:c r="D5" s="11" t="str">
        <x:v>Y-ybar</x:v>
      </x:c>
      <x:c r="E5" s="11" t="str">
        <x:v>X-xbar</x:v>
      </x:c>
      <x:c r="F5" s="11" t="str">
        <x:v>(X-xbar)^2</x:v>
      </x:c>
      <x:c r="G5" s="11" t="str">
        <x:v>(Y-ybar)^2</x:v>
      </x:c>
      <x:c r="H5" s="11" t="str">
        <x:v>(X-xbar)(Y-ybar)</x:v>
      </x:c>
    </x:row>
    <x:row r="6">
      <x:c r="A6" s="10" t="n">
        <x:v>1</x:v>
      </x:c>
      <x:c r="B6" s="12" t="n">
        <x:v>482</x:v>
      </x:c>
      <x:c r="C6" s="12" t="n">
        <x:v>5.9</x:v>
      </x:c>
      <x:c r="D6" s="12" t="n">
        <x:f>B6-$B$26</x:f>
        <x:v>469</x:v>
      </x:c>
      <x:c r="E6" s="12" t="n">
        <x:f>C6-$B$25</x:f>
        <x:v>-354.1</x:v>
      </x:c>
      <x:c r="F6" s="12" t="n">
        <x:f>E6^2</x:f>
        <x:v>125386.81000000001</x:v>
      </x:c>
      <x:c r="G6" s="12" t="n">
        <x:f>D6^2</x:f>
        <x:v>219961</x:v>
      </x:c>
      <x:c r="H6" s="12" t="n">
        <x:f>D6*E6</x:f>
        <x:v>-166072.90000000002</x:v>
      </x:c>
    </x:row>
    <x:row r="7">
      <x:c r="A7" s="10" t="n">
        <x:v>2</x:v>
      </x:c>
      <x:c r="B7" s="12" t="n">
        <x:v>998</x:v>
      </x:c>
      <x:c r="C7" s="12" t="n">
        <x:v>7.77</x:v>
      </x:c>
      <x:c r="D7" s="12" t="n">
        <x:f>B7-$B$26</x:f>
        <x:v>985</x:v>
      </x:c>
      <x:c r="E7" s="12" t="n">
        <x:f>C7-$B$25</x:f>
        <x:v>-352.23</x:v>
      </x:c>
      <x:c r="F7" s="12" t="n">
        <x:f>E7^2</x:f>
        <x:v>124065.97290000001</x:v>
      </x:c>
      <x:c r="G7" s="12" t="n">
        <x:f>D7^2</x:f>
        <x:v>970225</x:v>
      </x:c>
      <x:c r="H7" s="12" t="n">
        <x:f>D7*E7</x:f>
        <x:v>-346946.55000000005</x:v>
      </x:c>
    </x:row>
    <x:row r="8">
      <x:c r="A8" s="10" t="n">
        <x:v>3</x:v>
      </x:c>
      <x:c r="B8" s="12" t="n">
        <x:v>704</x:v>
      </x:c>
      <x:c r="C8" s="12" t="n">
        <x:v>5.27</x:v>
      </x:c>
      <x:c r="D8" s="12" t="n">
        <x:f>B8-$B$26</x:f>
        <x:v>691</x:v>
      </x:c>
      <x:c r="E8" s="12" t="n">
        <x:f>C8-$B$25</x:f>
        <x:v>-354.73</x:v>
      </x:c>
      <x:c r="F8" s="12" t="n">
        <x:f>E8^2</x:f>
        <x:v>125833.37290000002</x:v>
      </x:c>
      <x:c r="G8" s="12" t="n">
        <x:f>D8^2</x:f>
        <x:v>477481</x:v>
      </x:c>
      <x:c r="H8" s="12" t="n">
        <x:f>D8*E8</x:f>
        <x:v>-245118.43000000002</x:v>
      </x:c>
    </x:row>
    <x:row r="9">
      <x:c r="A9" s="10" t="n">
        <x:v>4</x:v>
      </x:c>
      <x:c r="B9" s="12" t="n">
        <x:v>1255</x:v>
      </x:c>
      <x:c r="C9" s="12" t="n">
        <x:v>9.23</x:v>
      </x:c>
      <x:c r="D9" s="12" t="n">
        <x:f>B9-$B$26</x:f>
        <x:v>1242</x:v>
      </x:c>
      <x:c r="E9" s="12" t="n">
        <x:f>C9-$B$25</x:f>
        <x:v>-350.77</x:v>
      </x:c>
      <x:c r="F9" s="12" t="n">
        <x:f>E9^2</x:f>
        <x:v>123039.59289999999</x:v>
      </x:c>
      <x:c r="G9" s="12" t="n">
        <x:f>D9^2</x:f>
        <x:v>1542564</x:v>
      </x:c>
      <x:c r="H9" s="12" t="n">
        <x:f>D9*E9</x:f>
        <x:v>-435656.33999999997</x:v>
      </x:c>
    </x:row>
    <x:row r="10">
      <x:c r="A10" s="10" t="n">
        <x:v>5</x:v>
      </x:c>
      <x:c r="B10" s="12" t="n">
        <x:v>1879</x:v>
      </x:c>
      <x:c r="C10" s="12" t="n">
        <x:v>15.39</x:v>
      </x:c>
      <x:c r="D10" s="12" t="n">
        <x:f>B10-$B$26</x:f>
        <x:v>1866</x:v>
      </x:c>
      <x:c r="E10" s="12" t="n">
        <x:f>C10-$B$25</x:f>
        <x:v>-344.61</x:v>
      </x:c>
      <x:c r="F10" s="12" t="n">
        <x:f>E10^2</x:f>
        <x:v>118756.05210000002</x:v>
      </x:c>
      <x:c r="G10" s="12" t="n">
        <x:f>D10^2</x:f>
        <x:v>3481956</x:v>
      </x:c>
      <x:c r="H10" s="12" t="n">
        <x:f>D10*E10</x:f>
        <x:v>-643042.26</x:v>
      </x:c>
    </x:row>
    <x:row r="11">
      <x:c r="A11" s="10" t="n">
        <x:v>6</x:v>
      </x:c>
      <x:c r="B11" s="12" t="n">
        <x:v>774</x:v>
      </x:c>
      <x:c r="C11" s="12" t="n">
        <x:v>7.53</x:v>
      </x:c>
      <x:c r="D11" s="12" t="n">
        <x:f>B11-$B$26</x:f>
        <x:v>761</x:v>
      </x:c>
      <x:c r="E11" s="12" t="n">
        <x:f>C11-$B$25</x:f>
        <x:v>-352.47</x:v>
      </x:c>
      <x:c r="F11" s="12" t="n">
        <x:f>E11^2</x:f>
        <x:v>124235.10090000002</x:v>
      </x:c>
      <x:c r="G11" s="12" t="n">
        <x:f>D11^2</x:f>
        <x:v>579121</x:v>
      </x:c>
      <x:c r="H11" s="12" t="n">
        <x:f>D11*E11</x:f>
        <x:v>-268229.67000000004</x:v>
      </x:c>
    </x:row>
    <x:row r="12">
      <x:c r="A12" s="10" t="n">
        <x:v>7</x:v>
      </x:c>
      <x:c r="B12" s="12" t="n">
        <x:v>234</x:v>
      </x:c>
      <x:c r="C12" s="12" t="n">
        <x:v>2.88</x:v>
      </x:c>
      <x:c r="D12" s="12" t="n">
        <x:f>B12-$B$26</x:f>
        <x:v>221</x:v>
      </x:c>
      <x:c r="E12" s="12" t="n">
        <x:f>C12-$B$25</x:f>
        <x:v>-357.12</x:v>
      </x:c>
      <x:c r="F12" s="12" t="n">
        <x:f>E12^2</x:f>
        <x:v>127534.69440000001</x:v>
      </x:c>
      <x:c r="G12" s="12" t="n">
        <x:f>D12^2</x:f>
        <x:v>48841</x:v>
      </x:c>
      <x:c r="H12" s="12" t="n">
        <x:f>D12*E12</x:f>
        <x:v>-78923.52</x:v>
      </x:c>
    </x:row>
    <x:row r="13">
      <x:c r="A13" s="10" t="n">
        <x:v>8</x:v>
      </x:c>
      <x:c r="B13" s="12" t="n">
        <x:v>788</x:v>
      </x:c>
      <x:c r="C13" s="12" t="n">
        <x:v>7.35</x:v>
      </x:c>
      <x:c r="D13" s="12" t="n">
        <x:f>B13-$B$26</x:f>
        <x:v>775</x:v>
      </x:c>
      <x:c r="E13" s="12" t="n">
        <x:f>C13-$B$25</x:f>
        <x:v>-352.65</x:v>
      </x:c>
      <x:c r="F13" s="12" t="n">
        <x:f>E13^2</x:f>
        <x:v>124362.02249999998</x:v>
      </x:c>
      <x:c r="G13" s="12" t="n">
        <x:f>D13^2</x:f>
        <x:v>600625</x:v>
      </x:c>
      <x:c r="H13" s="12" t="n">
        <x:f>D13*E13</x:f>
        <x:v>-273303.75</x:v>
      </x:c>
    </x:row>
    <x:row r="14">
      <x:c r="A14" s="10" t="n">
        <x:v>9</x:v>
      </x:c>
      <x:c r="B14" s="12" t="n">
        <x:v>770</x:v>
      </x:c>
      <x:c r="C14" s="12" t="n">
        <x:v>7.54</x:v>
      </x:c>
      <x:c r="D14" s="12" t="n">
        <x:f>B14-$B$26</x:f>
        <x:v>757</x:v>
      </x:c>
      <x:c r="E14" s="12" t="n">
        <x:f>C14-$B$25</x:f>
        <x:v>-352.46</x:v>
      </x:c>
      <x:c r="F14" s="12" t="n">
        <x:f>E14^2</x:f>
        <x:v>124228.05159999999</x:v>
      </x:c>
      <x:c r="G14" s="12" t="n">
        <x:f>D14^2</x:f>
        <x:v>573049</x:v>
      </x:c>
      <x:c r="H14" s="12" t="n">
        <x:f>D14*E14</x:f>
        <x:v>-266812.22</x:v>
      </x:c>
    </x:row>
    <x:row r="15">
      <x:c r="A15" s="10" t="n">
        <x:v>10</x:v>
      </x:c>
      <x:c r="B15" s="12" t="n">
        <x:v>609</x:v>
      </x:c>
      <x:c r="C15" s="12" t="n">
        <x:v>10.18</x:v>
      </x:c>
      <x:c r="D15" s="12" t="n">
        <x:f>B15-$B$26</x:f>
        <x:v>596</x:v>
      </x:c>
      <x:c r="E15" s="12" t="n">
        <x:f>C15-$B$25</x:f>
        <x:v>-349.82</x:v>
      </x:c>
      <x:c r="F15" s="12" t="n">
        <x:f>E15^2</x:f>
        <x:v>122374.0324</x:v>
      </x:c>
      <x:c r="G15" s="12" t="n">
        <x:f>D15^2</x:f>
        <x:v>355216</x:v>
      </x:c>
      <x:c r="H15" s="12" t="n">
        <x:f>D15*E15</x:f>
        <x:v>-208492.72</x:v>
      </x:c>
    </x:row>
    <x:row r="16">
      <x:c r="A16" s="10" t="n">
        <x:v>11</x:v>
      </x:c>
      <x:c r="B16" s="12" t="n">
        <x:v>393</x:v>
      </x:c>
      <x:c r="C16" s="12" t="n">
        <x:v>3.1</x:v>
      </x:c>
      <x:c r="D16" s="12" t="n">
        <x:f>B16-$B$26</x:f>
        <x:v>380</x:v>
      </x:c>
      <x:c r="E16" s="12" t="n">
        <x:f>C16-$B$25</x:f>
        <x:v>-356.9</x:v>
      </x:c>
      <x:c r="F16" s="12" t="n">
        <x:f>E16^2</x:f>
        <x:v>127377.60999999999</x:v>
      </x:c>
      <x:c r="G16" s="12" t="n">
        <x:f>D16^2</x:f>
        <x:v>144400</x:v>
      </x:c>
      <x:c r="H16" s="12" t="n">
        <x:f>D16*E16</x:f>
        <x:v>-135622</x:v>
      </x:c>
    </x:row>
    <x:row r="17">
      <x:c r="A17" s="10" t="n">
        <x:v>12</x:v>
      </x:c>
      <x:c r="B17" s="12" t="n">
        <x:v>457</x:v>
      </x:c>
      <x:c r="C17" s="12" t="n">
        <x:v>3.2</x:v>
      </x:c>
      <x:c r="D17" s="12" t="n">
        <x:f>B17-$B$26</x:f>
        <x:v>444</x:v>
      </x:c>
      <x:c r="E17" s="12" t="n">
        <x:f>C17-$B$25</x:f>
        <x:v>-356.8</x:v>
      </x:c>
      <x:c r="F17" s="12" t="n">
        <x:f>E17^2</x:f>
        <x:v>127306.24</x:v>
      </x:c>
      <x:c r="G17" s="12" t="n">
        <x:f>D17^2</x:f>
        <x:v>197136</x:v>
      </x:c>
      <x:c r="H17" s="12" t="n">
        <x:f>D17*E17</x:f>
        <x:v>-158419.2</x:v>
      </x:c>
    </x:row>
    <x:row r="18">
      <x:c r="A18" s="10" t="n">
        <x:v>13</x:v>
      </x:c>
      <x:c r="B18" s="12" t="n">
        <x:v>187</x:v>
      </x:c>
      <x:c r="C18" s="12" t="n">
        <x:v>2.5</x:v>
      </x:c>
      <x:c r="D18" s="12" t="n">
        <x:f>B18-$B$26</x:f>
        <x:v>174</x:v>
      </x:c>
      <x:c r="E18" s="12" t="n">
        <x:f>C18-$B$25</x:f>
        <x:v>-357.5</x:v>
      </x:c>
      <x:c r="F18" s="12" t="n">
        <x:f>E18^2</x:f>
        <x:v>127806.25</x:v>
      </x:c>
      <x:c r="G18" s="12" t="n">
        <x:f>D18^2</x:f>
        <x:v>30276</x:v>
      </x:c>
      <x:c r="H18" s="12" t="n">
        <x:f>D18*E18</x:f>
        <x:v>-62205</x:v>
      </x:c>
    </x:row>
    <x:row r="19">
      <x:c r="B19" s="12"/>
      <x:c r="C19" s="12"/>
      <x:c r="D19" s="12"/>
      <x:c r="E19" s="12"/>
      <x:c r="F19" s="12"/>
      <x:c r="G19" s="12"/>
      <x:c r="H19" s="12"/>
    </x:row>
    <x:row r="20">
      <x:c r="B20" s="12"/>
      <x:c r="C20" s="12"/>
      <x:c r="D20" s="12"/>
      <x:c r="E20" s="12"/>
      <x:c r="F20" s="12"/>
      <x:c r="G20" s="12"/>
      <x:c r="H20" s="12"/>
    </x:row>
    <x:row r="21">
      <x:c r="B21" s="12"/>
      <x:c r="C21" s="12"/>
      <x:c r="D21" s="12"/>
      <x:c r="E21" s="12"/>
      <x:c r="F21" s="12"/>
      <x:c r="G21" s="12"/>
      <x:c r="H21" s="12"/>
    </x:row>
    <x:row r="22">
      <x:c r="B22" s="12"/>
      <x:c r="C22" s="12"/>
      <x:c r="D22" s="12"/>
      <x:c r="E22" s="12"/>
      <x:c r="F22" s="12"/>
      <x:c r="G22" s="12"/>
      <x:c r="H22" s="12"/>
    </x:row>
    <x:row r="23">
      <x:c r="A23" s="4" t="str">
        <x:v>Input/Calculation</x:v>
      </x:c>
      <x:c r="B23" s="11" t="str">
        <x:v>Formula/Value</x:v>
      </x:c>
      <x:c r="C23" s="12"/>
      <x:c r="D23" s="12"/>
      <x:c r="E23" s="12"/>
      <x:c r="F23" s="12"/>
      <x:c r="G23" s="12"/>
      <x:c r="H23" s="12"/>
    </x:row>
    <x:row r="24">
      <x:c r="A24" s="10" t="str">
        <x:v>Population size N</x:v>
      </x:c>
      <x:c r="B24" s="12" t="n">
        <x:v>143</x:v>
      </x:c>
      <x:c r="C24" s="12"/>
      <x:c r="D24" s="12"/>
      <x:c r="E24" s="12"/>
      <x:c r="F24" s="12"/>
      <x:c r="G24" s="12"/>
      <x:c r="H24" s="12"/>
    </x:row>
    <x:row r="25">
      <x:c r="A25" s="10" t="str">
        <x:v>Known total X</x:v>
      </x:c>
      <x:c r="B25" s="12" t="n">
        <x:v>360</x:v>
      </x:c>
      <x:c r="C25" s="12"/>
      <x:c r="D25" s="12"/>
      <x:c r="E25" s="12"/>
      <x:c r="F25" s="12"/>
      <x:c r="G25" s="12"/>
      <x:c r="H25" s="12"/>
    </x:row>
    <x:row r="26">
      <x:c r="A26" s="10" t="str">
        <x:v>n</x:v>
      </x:c>
      <x:c r="B26" s="12" t="n">
        <x:f>COUNT(B6:B18)</x:f>
        <x:v>13</x:v>
      </x:c>
      <x:c r="C26" s="12"/>
      <x:c r="D26" s="12"/>
      <x:c r="E26" s="12"/>
      <x:c r="F26" s="12"/>
      <x:c r="G26" s="12"/>
      <x:c r="H26" s="12"/>
    </x:row>
    <x:row r="27">
      <x:c r="A27" s="10" t="str">
        <x:v>xbar</x:v>
      </x:c>
      <x:c r="B27" s="12" t="n">
        <x:f>AVERAGE(C6:C18)</x:f>
        <x:v>6.756923076923078</x:v>
      </x:c>
      <x:c r="C27" s="12"/>
      <x:c r="D27" s="12"/>
      <x:c r="E27" s="12"/>
      <x:c r="F27" s="12"/>
      <x:c r="G27" s="12"/>
      <x:c r="H27" s="12"/>
    </x:row>
    <x:row r="28">
      <x:c r="A28" s="10" t="str">
        <x:v>ybar</x:v>
      </x:c>
      <x:c r="B28" s="12" t="n">
        <x:f>AVERAGE(B6:B18)</x:f>
        <x:v>733.0769230769231</x:v>
      </x:c>
      <x:c r="C28" s="12"/>
      <x:c r="D28" s="12"/>
      <x:c r="E28" s="12"/>
      <x:c r="F28" s="12"/>
      <x:c r="G28" s="12"/>
      <x:c r="H28" s="12"/>
    </x:row>
    <x:row r="29">
      <x:c r="A29" s="10" t="str">
        <x:v>Sx²</x:v>
      </x:c>
      <x:c r="B29" s="12" t="n">
        <x:f>SUM(F6:F18)/(B26-1)</x:f>
        <x:v>135192.15021666666</x:v>
      </x:c>
      <x:c r="C29" s="12"/>
      <x:c r="D29" s="12"/>
      <x:c r="E29" s="12"/>
      <x:c r="F29" s="12"/>
      <x:c r="G29" s="12"/>
      <x:c r="H29" s="12"/>
    </x:row>
    <x:row r="30">
      <x:c r="A30" s="10" t="str">
        <x:v>Sy²</x:v>
      </x:c>
      <x:c r="B30" s="12" t="n">
        <x:f>SUM(G6:G18)/(B26-1)</x:f>
        <x:v>768404.25</x:v>
      </x:c>
      <x:c r="C30" s="12"/>
      <x:c r="D30" s="12"/>
      <x:c r="E30" s="12"/>
      <x:c r="F30" s="12"/>
      <x:c r="G30" s="12"/>
      <x:c r="H30" s="12"/>
    </x:row>
    <x:row r="31">
      <x:c r="A31" s="10" t="str">
        <x:v>Sxy</x:v>
      </x:c>
      <x:c r="B31" s="12" t="n">
        <x:f>SUM(H6:H18)/(B26-1)</x:f>
        <x:v>-274070.38000000006</x:v>
      </x:c>
      <x:c r="C31" s="12"/>
      <x:c r="D31" s="12"/>
      <x:c r="E31" s="12"/>
      <x:c r="F31" s="12"/>
      <x:c r="G31" s="12"/>
      <x:c r="H31" s="12"/>
    </x:row>
    <x:row r="32">
      <x:c r="A32" s="10" t="str">
        <x:v>b=Sxy/Sx²</x:v>
      </x:c>
      <x:c r="B32" s="12" t="n">
        <x:f>B31/B29</x:f>
        <x:v>-2.027265485168771</x:v>
      </x:c>
      <x:c r="C32" s="12"/>
      <x:c r="D32" s="12"/>
      <x:c r="E32" s="12"/>
      <x:c r="F32" s="12"/>
      <x:c r="G32" s="12"/>
      <x:c r="H32" s="12"/>
    </x:row>
    <x:row r="33">
      <x:c r="A33" s="10" t="str">
        <x:v>R=ybar/xbar</x:v>
      </x:c>
      <x:c r="B33" s="12" t="n">
        <x:f>B28/B27</x:f>
        <x:v>108.49271402550089</x:v>
      </x:c>
      <x:c r="C33" s="12"/>
      <x:c r="D33" s="12"/>
      <x:c r="E33" s="12"/>
      <x:c r="F33" s="12"/>
      <x:c r="G33" s="12"/>
      <x:c r="H33" s="12"/>
    </x:row>
    <x:row r="34">
      <x:c r="A34" s="10" t="str">
        <x:v>Regression total estimate</x:v>
      </x:c>
      <x:c r="B34" s="12" t="n">
        <x:f>B24*(B28+B32*(B25/B24-B27))</x:f>
        <x:v>106059.00942772873</x:v>
      </x:c>
      <x:c r="C34" s="12"/>
      <x:c r="D34" s="12"/>
      <x:c r="E34" s="12"/>
      <x:c r="F34" s="12"/>
      <x:c r="G34" s="12"/>
      <x:c r="H34" s="12"/>
    </x:row>
    <x:row r="35">
      <x:c r="A35" s="10" t="str">
        <x:v>Ratio total estimate</x:v>
      </x:c>
      <x:c r="B35" s="12" t="n">
        <x:f>B33*B25</x:f>
        <x:v>39057.37704918032</x:v>
      </x:c>
      <x:c r="C35" s="12"/>
      <x:c r="D35" s="12"/>
      <x:c r="E35" s="12"/>
      <x:c r="F35" s="12"/>
      <x:c r="G35" s="12"/>
      <x:c r="H35" s="12"/>
    </x:row>
    <x:row r="36">
      <x:c r="A36" s="10" t="str">
        <x:v>V(total regression)</x:v>
      </x:c>
      <x:c r="B36" s="12" t="n">
        <x:f>B24^2*((1/B26-1/B24)*(B30+B32^2*B29-2*B32*B31))</x:f>
        <x:v>304290884.2100421</x:v>
      </x:c>
      <x:c r="C36" s="12"/>
      <x:c r="D36" s="12"/>
      <x:c r="E36" s="12"/>
      <x:c r="F36" s="12"/>
      <x:c r="G36" s="12"/>
      <x:c r="H36" s="12"/>
    </x:row>
    <x:row r="37">
      <x:c r="A37" s="10" t="str">
        <x:v>V(total ratio)</x:v>
      </x:c>
      <x:c r="B37" s="12" t="n">
        <x:f>B24^2*((1/B26-1/B24)*(B30+B33^2*B29-2*B33*B31))</x:f>
        <x:v>2361701819780.151</x:v>
      </x:c>
      <x:c r="C37" s="12"/>
      <x:c r="D37" s="12"/>
      <x:c r="E37" s="12"/>
      <x:c r="F37" s="12"/>
      <x:c r="G37" s="12"/>
      <x:c r="H37" s="12"/>
    </x:row>
    <x:row r="38">
      <x:c r="A38" s="10" t="str">
        <x:v>V(total SRS)</x:v>
      </x:c>
      <x:c r="B38" s="12" t="n">
        <x:f>B24^2*((1/B26-1/B24)*B30)</x:f>
        <x:v>1098818077.5</x:v>
      </x:c>
      <x:c r="C38" s="12"/>
      <x:c r="D38" s="12"/>
      <x:c r="E38" s="12"/>
      <x:c r="F38" s="12"/>
      <x:c r="G38" s="12"/>
      <x:c r="H38" s="12"/>
    </x:row>
    <x:row r="39">
      <x:c r="A39" s="10" t="str">
        <x:v>Efficiency regression vs ratio (%)</x:v>
      </x:c>
      <x:c r="B39" s="12" t="n">
        <x:f>(B37-B36)/B36*100</x:f>
        <x:v>776032.9511763963</x:v>
      </x:c>
      <x:c r="C39" s="12"/>
      <x:c r="D39" s="12"/>
      <x:c r="E39" s="12"/>
      <x:c r="F39" s="12"/>
      <x:c r="G39" s="12"/>
      <x:c r="H39" s="12"/>
    </x:row>
    <x:row r="40">
      <x:c r="A40" s="10" t="str">
        <x:v>Efficiency regression vs SRS (%)</x:v>
      </x:c>
      <x:c r="B40" s="12" t="n">
        <x:f>(B38-B36)/B36*100</x:f>
        <x:v>261.10778683120907</x:v>
      </x:c>
      <x:c r="C40" s="12"/>
      <x:c r="D40" s="12"/>
      <x:c r="E40" s="12"/>
      <x:c r="F40" s="12"/>
      <x:c r="G40" s="12"/>
      <x:c r="H40" s="12"/>
    </x:row>
    <x:row r="43">
      <x:c r="A43" s="15" t="str">
        <x:v>Section 2: Written Practical Content</x:v>
      </x:c>
      <x:c r="B43" s="7"/>
      <x:c r="C43" s="7"/>
      <x:c r="D43" s="7"/>
      <x:c r="E43" s="7"/>
      <x:c r="F43" s="7"/>
      <x:c r="G43" s="7"/>
      <x:c r="H43" s="7"/>
      <x:c r="I43" s="7"/>
      <x:c r="J43" s="7"/>
    </x:row>
    <x:row r="44">
      <x:c r="A44" s="7"/>
      <x:c r="B44" s="7"/>
      <x:c r="C44" s="7"/>
      <x:c r="D44" s="7"/>
      <x:c r="E44" s="7"/>
      <x:c r="F44" s="7"/>
      <x:c r="G44" s="7"/>
      <x:c r="H44" s="7"/>
      <x:c r="I44" s="7"/>
      <x:c r="J44" s="7"/>
    </x:row>
    <x:row r="45">
      <x:c r="A45" s="15" t="str">
        <x:v>Aim</x:v>
      </x:c>
      <x:c r="B45" s="7" t="str">
        <x:v>To estimate the total number of orange trees using the regression method.</x:v>
      </x:c>
      <x:c r="C45" s="7"/>
      <x:c r="D45" s="7"/>
      <x:c r="E45" s="7"/>
      <x:c r="F45" s="7"/>
      <x:c r="G45" s="7"/>
      <x:c r="H45" s="7"/>
      <x:c r="I45" s="7"/>
      <x:c r="J45" s="7"/>
    </x:row>
    <x:row r="46">
      <x:c r="A46" s="7"/>
      <x:c r="B46" s="7"/>
      <x:c r="C46" s="7"/>
      <x:c r="D46" s="7"/>
      <x:c r="E46" s="7"/>
      <x:c r="F46" s="7"/>
      <x:c r="G46" s="7"/>
      <x:c r="H46" s="7"/>
      <x:c r="I46" s="7"/>
      <x:c r="J46" s="7"/>
    </x:row>
    <x:row r="47">
      <x:c r="A47" s="15" t="str">
        <x:v>Experiment</x:v>
      </x:c>
      <x:c r="B47" s="7" t="str">
        <x:v>Thirteen villages were selected by SRSWOR. The total number of orange trees and area under orange orchard are given. The total area for the population is 360.</x:v>
      </x:c>
      <x:c r="C47" s="7"/>
      <x:c r="D47" s="7"/>
      <x:c r="E47" s="7"/>
      <x:c r="F47" s="7"/>
      <x:c r="G47" s="7"/>
      <x:c r="H47" s="7"/>
      <x:c r="I47" s="7"/>
      <x:c r="J47" s="7"/>
    </x:row>
    <x:row r="48">
      <x:c r="A48" s="7"/>
      <x:c r="B48" s="7"/>
      <x:c r="C48" s="7"/>
      <x:c r="D48" s="7"/>
      <x:c r="E48" s="7"/>
      <x:c r="F48" s="7"/>
      <x:c r="G48" s="7"/>
      <x:c r="H48" s="7"/>
      <x:c r="I48" s="7"/>
      <x:c r="J48" s="7"/>
    </x:row>
    <x:row r="49">
      <x:c r="A49" s="15" t="str">
        <x:v>Theory &amp; Formula</x:v>
      </x:c>
      <x:c r="B49" s="7" t="str">
        <x:v>Regression estimator: ybar_reg = ybar + b(Xbar - xbar), where b=Sxy/Sx². Variance uses Sy²+b²Sx²-2bSxy. Ratio and SRS variances are also computed for comparison.</x:v>
      </x:c>
      <x:c r="C49" s="7"/>
      <x:c r="D49" s="7"/>
      <x:c r="E49" s="7"/>
      <x:c r="F49" s="7"/>
      <x:c r="G49" s="7"/>
      <x:c r="H49" s="7"/>
      <x:c r="I49" s="7"/>
      <x:c r="J49" s="7"/>
    </x:row>
    <x:row r="50">
      <x:c r="A50" s="7"/>
      <x:c r="B50" s="7"/>
      <x:c r="C50" s="7"/>
      <x:c r="D50" s="7"/>
      <x:c r="E50" s="7"/>
      <x:c r="F50" s="7"/>
      <x:c r="G50" s="7"/>
      <x:c r="H50" s="7"/>
      <x:c r="I50" s="7"/>
      <x:c r="J50" s="7"/>
    </x:row>
    <x:row r="51">
      <x:c r="A51" s="15" t="str">
        <x:v>Calculation Steps</x:v>
      </x:c>
      <x:c r="B51" s="7" t="str">
        <x:v>Enter Y and X. Calculate deviations, Sx², Sy², Sxy, b, regression estimate, ratio estimate and variances using formulas.</x:v>
      </x:c>
      <x:c r="C51" s="7"/>
      <x:c r="D51" s="7"/>
      <x:c r="E51" s="7"/>
      <x:c r="F51" s="7"/>
      <x:c r="G51" s="7"/>
      <x:c r="H51" s="7"/>
      <x:c r="I51" s="7"/>
      <x:c r="J51" s="7"/>
    </x:row>
    <x:row r="52">
      <x:c r="A52" s="7"/>
      <x:c r="B52" s="7"/>
      <x:c r="C52" s="7"/>
      <x:c r="D52" s="7"/>
      <x:c r="E52" s="7"/>
      <x:c r="F52" s="7"/>
      <x:c r="G52" s="7"/>
      <x:c r="H52" s="7"/>
      <x:c r="I52" s="7"/>
      <x:c r="J52" s="7"/>
    </x:row>
    <x:row r="53">
      <x:c r="A53" s="15" t="str">
        <x:v>Result</x:v>
      </x:c>
      <x:c r="B53" s="7" t="str">
        <x:v>The worksheet calculates regression, ratio and SRS variance values and efficiency percentages.</x:v>
      </x:c>
      <x:c r="C53" s="7"/>
      <x:c r="D53" s="7"/>
      <x:c r="E53" s="7"/>
      <x:c r="F53" s="7"/>
      <x:c r="G53" s="7"/>
      <x:c r="H53" s="7"/>
      <x:c r="I53" s="7"/>
      <x:c r="J53" s="7"/>
    </x:row>
    <x:row r="54">
      <x:c r="A54" s="7"/>
      <x:c r="B54" s="7"/>
      <x:c r="C54" s="7"/>
      <x:c r="D54" s="7"/>
      <x:c r="E54" s="7"/>
      <x:c r="F54" s="7"/>
      <x:c r="G54" s="7"/>
      <x:c r="H54" s="7"/>
      <x:c r="I54" s="7"/>
      <x:c r="J54" s="7"/>
    </x:row>
    <x:row r="55">
      <x:c r="A55" s="15" t="str">
        <x:v>Conclusion</x:v>
      </x:c>
      <x:c r="B55" s="7" t="str">
        <x:v>Regression method is compared with ratio method and SRS using the computed variances.</x:v>
      </x:c>
      <x:c r="C55" s="7"/>
      <x:c r="D55" s="7"/>
      <x:c r="E55" s="7"/>
      <x:c r="F55" s="7"/>
      <x:c r="G55" s="7"/>
      <x:c r="H55" s="7"/>
      <x:c r="I55" s="7"/>
      <x:c r="J55" s="7"/>
    </x:row>
    <x:row r="56">
      <x:c r="A56" s="7"/>
      <x:c r="B56" s="7"/>
      <x:c r="C56" s="7"/>
      <x:c r="D56" s="7"/>
      <x:c r="E56" s="7"/>
      <x:c r="F56" s="7"/>
      <x:c r="G56" s="7"/>
      <x:c r="H56" s="7"/>
      <x:c r="I56" s="7"/>
      <x:c r="J56" s="7"/>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10 - CRD analysis for fertilizer/plans</x:v>
      </x:c>
      <x:c r="B1" s="7"/>
      <x:c r="C1" s="7"/>
      <x:c r="D1" s="7"/>
      <x:c r="E1" s="7"/>
      <x:c r="F1" s="7"/>
      <x:c r="G1" s="7"/>
      <x:c r="H1" s="7"/>
      <x:c r="I1" s="7"/>
      <x:c r="J1" s="7"/>
      <x:c r="K1" s="7"/>
      <x:c r="L1" s="7"/>
      <x:c r="M1" s="7"/>
      <x:c r="N1" s="7"/>
    </x:row>
    <x:row r="3">
      <x:c r="A3" s="4" t="str">
        <x:v>Section 1: Excel Work</x:v>
      </x:c>
    </x:row>
    <x:row r="5">
      <x:c r="A5" s="4" t="str">
        <x:v>Plan</x:v>
      </x:c>
      <x:c r="B5" s="11" t="str">
        <x:v>A</x:v>
      </x:c>
      <x:c r="C5" s="11" t="str">
        <x:v>B</x:v>
      </x:c>
      <x:c r="D5" s="11" t="str">
        <x:v>C</x:v>
      </x:c>
      <x:c r="E5" s="11" t="str">
        <x:v>D</x:v>
      </x:c>
      <x:c r="F5" s="11" t="str">
        <x:v>E</x:v>
      </x:c>
    </x:row>
    <x:row r="6">
      <x:c r="A6" s="10" t="str">
        <x:v>Yield</x:v>
      </x:c>
      <x:c r="B6" s="12" t="n">
        <x:v>8</x:v>
      </x:c>
      <x:c r="C6" s="12" t="n">
        <x:v>21</x:v>
      </x:c>
      <x:c r="D6" s="12" t="n">
        <x:v>17</x:v>
      </x:c>
      <x:c r="E6" s="12" t="n">
        <x:v>20</x:v>
      </x:c>
      <x:c r="F6" s="12" t="n">
        <x:v>17</x:v>
      </x:c>
    </x:row>
    <x:row r="7">
      <x:c r="A7" s="10" t="str">
        <x:v>Yield</x:v>
      </x:c>
      <x:c r="B7" s="12" t="n">
        <x:v>9</x:v>
      </x:c>
      <x:c r="C7" s="12" t="n">
        <x:v>17</x:v>
      </x:c>
      <x:c r="D7" s="12" t="n">
        <x:v>18</x:v>
      </x:c>
      <x:c r="E7" s="12" t="n">
        <x:v>15</x:v>
      </x:c>
      <x:c r="F7" s="12" t="n">
        <x:v>16</x:v>
      </x:c>
    </x:row>
    <x:row r="8">
      <x:c r="A8" s="10" t="str">
        <x:v>Yield</x:v>
      </x:c>
      <x:c r="B8" s="12" t="n">
        <x:v>15</x:v>
      </x:c>
      <x:c r="C8" s="12" t="n">
        <x:v>12</x:v>
      </x:c>
      <x:c r="D8" s="12" t="n">
        <x:v>16</x:v>
      </x:c>
      <x:c r="E8" s="12" t="n">
        <x:v>13</x:v>
      </x:c>
      <x:c r="F8" s="12" t="n">
        <x:v>18</x:v>
      </x:c>
    </x:row>
    <x:row r="9">
      <x:c r="A9" s="10" t="str">
        <x:v>Yield</x:v>
      </x:c>
      <x:c r="B9" s="12" t="n">
        <x:v>8</x:v>
      </x:c>
      <x:c r="C9" s="12" t="n">
        <x:v>16</x:v>
      </x:c>
      <x:c r="D9" s="12" t="n">
        <x:v>18</x:v>
      </x:c>
      <x:c r="E9" s="12" t="n">
        <x:v>19</x:v>
      </x:c>
      <x:c r="F9" s="12" t="n">
        <x:v>15</x:v>
      </x:c>
    </x:row>
    <x:row r="10">
      <x:c r="A10" s="10" t="str">
        <x:v>Yield</x:v>
      </x:c>
      <x:c r="B10" s="12" t="n">
        <x:v>10</x:v>
      </x:c>
      <x:c r="C10" s="12" t="n">
        <x:v>14</x:v>
      </x:c>
      <x:c r="D10" s="12" t="n">
        <x:v>19</x:v>
      </x:c>
      <x:c r="E10" s="12" t="n">
        <x:v>23</x:v>
      </x:c>
      <x:c r="F10" s="12" t="n">
        <x:v>13</x:v>
      </x:c>
    </x:row>
    <x:row r="11">
      <x:c r="B11" s="12"/>
      <x:c r="C11" s="12"/>
      <x:c r="D11" s="12"/>
      <x:c r="E11" s="12"/>
      <x:c r="F11" s="12"/>
    </x:row>
    <x:row r="12">
      <x:c r="A12" s="4" t="str">
        <x:v>Treatment</x:v>
      </x:c>
      <x:c r="B12" s="11" t="str">
        <x:v>Count</x:v>
      </x:c>
      <x:c r="C12" s="11" t="str">
        <x:v>Sum</x:v>
      </x:c>
      <x:c r="D12" s="11" t="str">
        <x:v>Average</x:v>
      </x:c>
      <x:c r="E12" s="11" t="str">
        <x:v>Variance</x:v>
      </x:c>
      <x:c r="F12" s="11" t="str">
        <x:v>T_i²/r_i</x:v>
      </x:c>
    </x:row>
    <x:row r="13">
      <x:c r="A13" s="10" t="str">
        <x:v>A</x:v>
      </x:c>
      <x:c r="B13" s="12" t="n">
        <x:f>COUNT(B6:B10)</x:f>
        <x:v>5</x:v>
      </x:c>
      <x:c r="C13" s="12" t="n">
        <x:f>SUM(B6:B10)</x:f>
        <x:v>50</x:v>
      </x:c>
      <x:c r="D13" s="12" t="n">
        <x:f>AVERAGE(B6:B10)</x:f>
        <x:v>10</x:v>
      </x:c>
      <x:c r="E13" s="12" t="n">
        <x:f>VAR.S(B6:B10)</x:f>
        <x:v>8.5</x:v>
      </x:c>
      <x:c r="F13" s="12" t="n">
        <x:f>C13^2/B13</x:f>
        <x:v>500</x:v>
      </x:c>
    </x:row>
    <x:row r="14">
      <x:c r="A14" s="10" t="str">
        <x:v>B</x:v>
      </x:c>
      <x:c r="B14" s="12" t="n">
        <x:f>COUNT(C6:C10)</x:f>
        <x:v>5</x:v>
      </x:c>
      <x:c r="C14" s="12" t="n">
        <x:f>SUM(C6:C10)</x:f>
        <x:v>80</x:v>
      </x:c>
      <x:c r="D14" s="12" t="n">
        <x:f>AVERAGE(C6:C10)</x:f>
        <x:v>16</x:v>
      </x:c>
      <x:c r="E14" s="12" t="n">
        <x:f>VAR.S(C6:C10)</x:f>
        <x:v>11.5</x:v>
      </x:c>
      <x:c r="F14" s="12" t="n">
        <x:f>C14^2/B14</x:f>
        <x:v>1280</x:v>
      </x:c>
    </x:row>
    <x:row r="15">
      <x:c r="A15" s="10" t="str">
        <x:v>C</x:v>
      </x:c>
      <x:c r="B15" s="12" t="n">
        <x:f>COUNT(D6:D10)</x:f>
        <x:v>5</x:v>
      </x:c>
      <x:c r="C15" s="12" t="n">
        <x:f>SUM(D6:D10)</x:f>
        <x:v>88</x:v>
      </x:c>
      <x:c r="D15" s="12" t="n">
        <x:f>AVERAGE(D6:D10)</x:f>
        <x:v>17.6</x:v>
      </x:c>
      <x:c r="E15" s="12" t="n">
        <x:f>VAR.S(D6:D10)</x:f>
        <x:v>1.2999999999999998</x:v>
      </x:c>
      <x:c r="F15" s="12" t="n">
        <x:f>C15^2/B15</x:f>
        <x:v>1548.8</x:v>
      </x:c>
    </x:row>
    <x:row r="16">
      <x:c r="A16" s="10" t="str">
        <x:v>D</x:v>
      </x:c>
      <x:c r="B16" s="12" t="n">
        <x:f>COUNT(E6:E10)</x:f>
        <x:v>5</x:v>
      </x:c>
      <x:c r="C16" s="12" t="n">
        <x:f>SUM(E6:E10)</x:f>
        <x:v>90</x:v>
      </x:c>
      <x:c r="D16" s="12" t="n">
        <x:f>AVERAGE(E6:E10)</x:f>
        <x:v>18</x:v>
      </x:c>
      <x:c r="E16" s="12" t="n">
        <x:f>VAR.S(E6:E10)</x:f>
        <x:v>16</x:v>
      </x:c>
      <x:c r="F16" s="12" t="n">
        <x:f>C16^2/B16</x:f>
        <x:v>1620</x:v>
      </x:c>
    </x:row>
    <x:row r="17">
      <x:c r="A17" s="10" t="str">
        <x:v>E</x:v>
      </x:c>
      <x:c r="B17" s="12" t="n">
        <x:f>COUNT(F6:F10)</x:f>
        <x:v>5</x:v>
      </x:c>
      <x:c r="C17" s="12" t="n">
        <x:f>SUM(F6:F10)</x:f>
        <x:v>79</x:v>
      </x:c>
      <x:c r="D17" s="12" t="n">
        <x:f>AVERAGE(F6:F10)</x:f>
        <x:v>15.8</x:v>
      </x:c>
      <x:c r="E17" s="12" t="n">
        <x:f>VAR.S(F6:F10)</x:f>
        <x:v>3.7</x:v>
      </x:c>
      <x:c r="F17" s="12" t="n">
        <x:f>C17^2/B17</x:f>
        <x:v>1248.2</x:v>
      </x:c>
    </x:row>
    <x:row r="18">
      <x:c r="B18" s="12"/>
      <x:c r="C18" s="12"/>
      <x:c r="D18" s="12"/>
      <x:c r="E18" s="12"/>
      <x:c r="F18" s="12"/>
    </x:row>
    <x:row r="19">
      <x:c r="B19" s="12"/>
      <x:c r="C19" s="12"/>
      <x:c r="D19" s="12"/>
      <x:c r="E19" s="12"/>
      <x:c r="F19" s="12"/>
    </x:row>
    <x:row r="20">
      <x:c r="A20" s="4" t="str">
        <x:v>ANOVA</x:v>
      </x:c>
      <x:c r="B20" s="11" t="str">
        <x:v>Formula/Value</x:v>
      </x:c>
      <x:c r="C20" s="12"/>
      <x:c r="D20" s="12"/>
      <x:c r="E20" s="12"/>
      <x:c r="F20" s="12"/>
    </x:row>
    <x:row r="21">
      <x:c r="A21" s="10" t="str">
        <x:v>Grand total</x:v>
      </x:c>
      <x:c r="B21" s="12" t="n">
        <x:f>SUM(C13:C17)</x:f>
        <x:v>387</x:v>
      </x:c>
      <x:c r="C21" s="12"/>
      <x:c r="D21" s="12"/>
      <x:c r="E21" s="12"/>
      <x:c r="F21" s="12"/>
    </x:row>
    <x:row r="22">
      <x:c r="A22" s="10" t="str">
        <x:v>N</x:v>
      </x:c>
      <x:c r="B22" s="12" t="n">
        <x:f>SUM(B13:B17)</x:f>
        <x:v>25</x:v>
      </x:c>
      <x:c r="C22" s="12"/>
      <x:c r="D22" s="12"/>
      <x:c r="E22" s="12"/>
      <x:c r="F22" s="12"/>
    </x:row>
    <x:row r="23">
      <x:c r="A23" s="10" t="str">
        <x:v>Correction factor</x:v>
      </x:c>
      <x:c r="B23" s="12" t="n">
        <x:f>B21^2/B22</x:f>
        <x:v>5990.76</x:v>
      </x:c>
      <x:c r="C23" s="12"/>
      <x:c r="D23" s="12"/>
      <x:c r="E23" s="12"/>
      <x:c r="F23" s="12"/>
    </x:row>
    <x:row r="24">
      <x:c r="A24" s="10" t="str">
        <x:v>Treatment SS</x:v>
      </x:c>
      <x:c r="B24" s="12" t="n">
        <x:f>SUM(F13:F17)-B23</x:f>
        <x:v>206.23999999999978</x:v>
      </x:c>
      <x:c r="C24" s="12"/>
      <x:c r="D24" s="12"/>
      <x:c r="E24" s="12"/>
      <x:c r="F24" s="12"/>
    </x:row>
    <x:row r="25">
      <x:c r="A25" s="10" t="str">
        <x:v>Error SS</x:v>
      </x:c>
      <x:c r="B25" s="12" t="n">
        <x:f>B26-B24</x:f>
        <x:v>164</x:v>
      </x:c>
      <x:c r="C25" s="12"/>
      <x:c r="D25" s="12"/>
      <x:c r="E25" s="12"/>
      <x:c r="F25" s="12"/>
    </x:row>
    <x:row r="26">
      <x:c r="A26" s="10" t="str">
        <x:v>Total SS</x:v>
      </x:c>
      <x:c r="B26" s="12" t="n">
        <x:f>SUMSQ(B6:F10)-B23</x:f>
        <x:v>370.2399999999998</x:v>
      </x:c>
      <x:c r="C26" s="12"/>
      <x:c r="D26" s="12"/>
      <x:c r="E26" s="12"/>
      <x:c r="F26" s="12"/>
    </x:row>
    <x:row r="27">
      <x:c r="A27" s="10" t="str">
        <x:v>Treatment df</x:v>
      </x:c>
      <x:c r="B27" s="12" t="n">
        <x:f>COUNT(B13:B17)-1</x:f>
        <x:v>4</x:v>
      </x:c>
      <x:c r="C27" s="12"/>
      <x:c r="D27" s="12"/>
      <x:c r="E27" s="12"/>
      <x:c r="F27" s="12"/>
    </x:row>
    <x:row r="28">
      <x:c r="A28" s="10" t="str">
        <x:v>Error df</x:v>
      </x:c>
      <x:c r="B28" s="12" t="n">
        <x:f>B22-COUNT(B13:B17)</x:f>
        <x:v>20</x:v>
      </x:c>
      <x:c r="C28" s="12"/>
      <x:c r="D28" s="12"/>
      <x:c r="E28" s="12"/>
      <x:c r="F28" s="12"/>
    </x:row>
    <x:row r="29">
      <x:c r="A29" s="10" t="str">
        <x:v>Total df</x:v>
      </x:c>
      <x:c r="B29" s="12" t="n">
        <x:f>B22-1</x:f>
        <x:v>24</x:v>
      </x:c>
      <x:c r="C29" s="12"/>
      <x:c r="D29" s="12"/>
      <x:c r="E29" s="12"/>
      <x:c r="F29" s="12"/>
    </x:row>
    <x:row r="30">
      <x:c r="A30" s="10" t="str">
        <x:v>MST</x:v>
      </x:c>
      <x:c r="B30" s="12" t="n">
        <x:f>B24/B27</x:f>
        <x:v>51.559999999999945</x:v>
      </x:c>
      <x:c r="C30" s="12"/>
      <x:c r="D30" s="12"/>
      <x:c r="E30" s="12"/>
      <x:c r="F30" s="12"/>
    </x:row>
    <x:row r="31">
      <x:c r="A31" s="10" t="str">
        <x:v>MSE</x:v>
      </x:c>
      <x:c r="B31" s="12" t="n">
        <x:f>B25/B28</x:f>
        <x:v>8.2</x:v>
      </x:c>
      <x:c r="C31" s="12"/>
      <x:c r="D31" s="12"/>
      <x:c r="E31" s="12"/>
      <x:c r="F31" s="12"/>
    </x:row>
    <x:row r="32">
      <x:c r="A32" s="10" t="str">
        <x:v>F calculated</x:v>
      </x:c>
      <x:c r="B32" s="12" t="n">
        <x:f>B30/B31</x:f>
        <x:v>6.2878048780487745</x:v>
      </x:c>
      <x:c r="C32" s="12"/>
      <x:c r="D32" s="12"/>
      <x:c r="E32" s="12"/>
      <x:c r="F32" s="12"/>
    </x:row>
    <x:row r="33">
      <x:c r="A33" s="10" t="str">
        <x:v>F tabulated 5% (input)</x:v>
      </x:c>
      <x:c r="B33" s="12" t="n">
        <x:v>2.8661</x:v>
      </x:c>
      <x:c r="C33" s="12"/>
      <x:c r="D33" s="12"/>
      <x:c r="E33" s="12"/>
      <x:c r="F33" s="12"/>
    </x:row>
    <x:row r="34">
      <x:c r="A34" s="10" t="str">
        <x:v>Decision</x:v>
      </x:c>
      <x:c r="B34" s="12" t="str">
        <x:f>IF(B32&gt;B33,"Reject H0","Accept H0")</x:f>
        <x:v>Reject H0</x:v>
      </x:c>
      <x:c r="C34" s="12"/>
      <x:c r="D34" s="12"/>
      <x:c r="E34" s="12"/>
      <x:c r="F34" s="12"/>
    </x:row>
    <x:row r="35">
      <x:c r="B35" s="12"/>
      <x:c r="C35" s="12"/>
      <x:c r="D35" s="12"/>
      <x:c r="E35" s="12"/>
      <x:c r="F35" s="12"/>
    </x:row>
    <x:row r="36">
      <x:c r="B36" s="12"/>
      <x:c r="C36" s="12"/>
      <x:c r="D36" s="12"/>
      <x:c r="E36" s="12"/>
      <x:c r="F36" s="12"/>
    </x:row>
    <x:row r="37">
      <x:c r="A37" s="4" t="str">
        <x:v>Pairwise t-test</x:v>
      </x:c>
      <x:c r="B37" s="11" t="str">
        <x:v>Treatment 1</x:v>
      </x:c>
      <x:c r="C37" s="11" t="str">
        <x:v>Treatment 2</x:v>
      </x:c>
      <x:c r="D37" s="11" t="str">
        <x:v>Mean Difference</x:v>
      </x:c>
      <x:c r="E37" s="11" t="str">
        <x:v>t-value</x:v>
      </x:c>
      <x:c r="F37" s="11" t="str">
        <x:v>Result</x:v>
      </x:c>
    </x:row>
    <x:row r="38">
      <x:c r="A38" s="10" t="n">
        <x:v>1</x:v>
      </x:c>
      <x:c r="B38" s="12" t="str">
        <x:v>A</x:v>
      </x:c>
      <x:c r="C38" s="12" t="str">
        <x:v>B</x:v>
      </x:c>
      <x:c r="D38" s="12" t="n">
        <x:f>D13-D14</x:f>
        <x:v>-6</x:v>
      </x:c>
      <x:c r="E38" s="12" t="n">
        <x:f>D38/SQRT($B$31*(1/B13+1/B14))</x:f>
        <x:v>-3.3129457822453965</x:v>
      </x:c>
      <x:c r="F38" s="12" t="str">
        <x:f>IF(ABS(E38)&gt;2.086,"Reject","Accept")</x:f>
        <x:v>Reject</x:v>
      </x:c>
    </x:row>
    <x:row r="39">
      <x:c r="A39" s="10" t="n">
        <x:v>2</x:v>
      </x:c>
      <x:c r="B39" s="12" t="str">
        <x:v>A</x:v>
      </x:c>
      <x:c r="C39" s="12" t="str">
        <x:v>C</x:v>
      </x:c>
      <x:c r="D39" s="12" t="n">
        <x:f>D13-D15</x:f>
        <x:v>-7.600000000000001</x:v>
      </x:c>
      <x:c r="E39" s="12" t="n">
        <x:f>D39/SQRT($B$31*(1/B13+1/B15))</x:f>
        <x:v>-4.1963979908441695</x:v>
      </x:c>
      <x:c r="F39" s="12" t="str">
        <x:f>IF(ABS(E39)&gt;2.086,"Reject","Accept")</x:f>
        <x:v>Reject</x:v>
      </x:c>
    </x:row>
    <x:row r="40">
      <x:c r="A40" s="10" t="n">
        <x:v>3</x:v>
      </x:c>
      <x:c r="B40" s="12" t="str">
        <x:v>A</x:v>
      </x:c>
      <x:c r="C40" s="12" t="str">
        <x:v>D</x:v>
      </x:c>
      <x:c r="D40" s="12" t="n">
        <x:f>D13-D16</x:f>
        <x:v>-8</x:v>
      </x:c>
      <x:c r="E40" s="12" t="n">
        <x:f>D40/SQRT($B$31*(1/B13+1/B16))</x:f>
        <x:v>-4.417261042993862</x:v>
      </x:c>
      <x:c r="F40" s="12" t="str">
        <x:f>IF(ABS(E40)&gt;2.086,"Reject","Accept")</x:f>
        <x:v>Reject</x:v>
      </x:c>
    </x:row>
    <x:row r="41">
      <x:c r="A41" s="10" t="n">
        <x:v>4</x:v>
      </x:c>
      <x:c r="B41" s="12" t="str">
        <x:v>A</x:v>
      </x:c>
      <x:c r="C41" s="12" t="str">
        <x:v>E</x:v>
      </x:c>
      <x:c r="D41" s="12" t="n">
        <x:f>D13-D17</x:f>
        <x:v>-5.800000000000001</x:v>
      </x:c>
      <x:c r="E41" s="12" t="n">
        <x:f>D41/SQRT($B$31*(1/B13+1/B17))</x:f>
        <x:v>-3.2025142561705504</x:v>
      </x:c>
      <x:c r="F41" s="12" t="str">
        <x:f>IF(ABS(E41)&gt;2.086,"Reject","Accept")</x:f>
        <x:v>Reject</x:v>
      </x:c>
    </x:row>
    <x:row r="42">
      <x:c r="A42" s="10" t="n">
        <x:v>5</x:v>
      </x:c>
      <x:c r="B42" s="12" t="str">
        <x:v>B</x:v>
      </x:c>
      <x:c r="C42" s="12" t="str">
        <x:v>A</x:v>
      </x:c>
      <x:c r="D42" s="12" t="n">
        <x:f>D14-D13</x:f>
        <x:v>6</x:v>
      </x:c>
      <x:c r="E42" s="12" t="n">
        <x:f>D42/SQRT($B$31*(1/B14+1/B13))</x:f>
        <x:v>3.3129457822453965</x:v>
      </x:c>
      <x:c r="F42" s="12" t="str">
        <x:f>IF(ABS(E42)&gt;2.086,"Reject","Accept")</x:f>
        <x:v>Reject</x:v>
      </x:c>
    </x:row>
    <x:row r="43">
      <x:c r="A43" s="10" t="n">
        <x:v>6</x:v>
      </x:c>
      <x:c r="B43" s="12" t="str">
        <x:v>B</x:v>
      </x:c>
      <x:c r="C43" s="12" t="str">
        <x:v>C</x:v>
      </x:c>
      <x:c r="D43" s="12" t="n">
        <x:f>D14-D15</x:f>
        <x:v>-1.6000000000000014</x:v>
      </x:c>
      <x:c r="E43" s="12" t="n">
        <x:f>D43/SQRT($B$31*(1/B14+1/B15))</x:f>
        <x:v>-0.8834522085987732</x:v>
      </x:c>
      <x:c r="F43" s="12" t="str">
        <x:f>IF(ABS(E43)&gt;2.086,"Reject","Accept")</x:f>
        <x:v>Accept</x:v>
      </x:c>
    </x:row>
    <x:row r="44">
      <x:c r="A44" s="10" t="n">
        <x:v>7</x:v>
      </x:c>
      <x:c r="B44" s="12" t="str">
        <x:v>B</x:v>
      </x:c>
      <x:c r="C44" s="12" t="str">
        <x:v>D</x:v>
      </x:c>
      <x:c r="D44" s="12" t="n">
        <x:f>D14-D16</x:f>
        <x:v>-2</x:v>
      </x:c>
      <x:c r="E44" s="12" t="n">
        <x:f>D44/SQRT($B$31*(1/B14+1/B16))</x:f>
        <x:v>-1.1043152607484654</x:v>
      </x:c>
      <x:c r="F44" s="12" t="str">
        <x:f>IF(ABS(E44)&gt;2.086,"Reject","Accept")</x:f>
        <x:v>Accept</x:v>
      </x:c>
    </x:row>
    <x:row r="45">
      <x:c r="A45" s="10" t="n">
        <x:v>8</x:v>
      </x:c>
      <x:c r="B45" s="12" t="str">
        <x:v>B</x:v>
      </x:c>
      <x:c r="C45" s="12" t="str">
        <x:v>E</x:v>
      </x:c>
      <x:c r="D45" s="12" t="n">
        <x:f>D14-D17</x:f>
        <x:v>0.1999999999999993</x:v>
      </x:c>
      <x:c r="E45" s="12" t="n">
        <x:f>D45/SQRT($B$31*(1/B14+1/B17))</x:f>
        <x:v>0.11043152607484616</x:v>
      </x:c>
      <x:c r="F45" s="12" t="str">
        <x:f>IF(ABS(E45)&gt;2.086,"Reject","Accept")</x:f>
        <x:v>Accept</x:v>
      </x:c>
    </x:row>
    <x:row r="46">
      <x:c r="A46" s="10" t="n">
        <x:v>9</x:v>
      </x:c>
      <x:c r="B46" s="12" t="str">
        <x:v>C</x:v>
      </x:c>
      <x:c r="C46" s="12" t="str">
        <x:v>A</x:v>
      </x:c>
      <x:c r="D46" s="12" t="n">
        <x:f>D15-D13</x:f>
        <x:v>7.600000000000001</x:v>
      </x:c>
      <x:c r="E46" s="12" t="n">
        <x:f>D46/SQRT($B$31*(1/B15+1/B13))</x:f>
        <x:v>4.1963979908441695</x:v>
      </x:c>
      <x:c r="F46" s="12" t="str">
        <x:f>IF(ABS(E46)&gt;2.086,"Reject","Accept")</x:f>
        <x:v>Reject</x:v>
      </x:c>
    </x:row>
    <x:row r="47">
      <x:c r="A47" s="10" t="n">
        <x:v>10</x:v>
      </x:c>
      <x:c r="B47" s="12" t="str">
        <x:v>C</x:v>
      </x:c>
      <x:c r="C47" s="12" t="str">
        <x:v>B</x:v>
      </x:c>
      <x:c r="D47" s="12" t="n">
        <x:f>D15-D14</x:f>
        <x:v>1.6000000000000014</x:v>
      </x:c>
      <x:c r="E47" s="12" t="n">
        <x:f>D47/SQRT($B$31*(1/B15+1/B14))</x:f>
        <x:v>0.8834522085987732</x:v>
      </x:c>
      <x:c r="F47" s="12" t="str">
        <x:f>IF(ABS(E47)&gt;2.086,"Reject","Accept")</x:f>
        <x:v>Accept</x:v>
      </x:c>
    </x:row>
    <x:row r="48">
      <x:c r="A48" s="10" t="n">
        <x:v>11</x:v>
      </x:c>
      <x:c r="B48" s="12" t="str">
        <x:v>C</x:v>
      </x:c>
      <x:c r="C48" s="12" t="str">
        <x:v>D</x:v>
      </x:c>
      <x:c r="D48" s="12" t="n">
        <x:f>D15-D16</x:f>
        <x:v>-0.3999999999999986</x:v>
      </x:c>
      <x:c r="E48" s="12" t="n">
        <x:f>D48/SQRT($B$31*(1/B15+1/B16))</x:f>
        <x:v>-0.22086305214969232</x:v>
      </x:c>
      <x:c r="F48" s="12" t="str">
        <x:f>IF(ABS(E48)&gt;2.086,"Reject","Accept")</x:f>
        <x:v>Accept</x:v>
      </x:c>
    </x:row>
    <x:row r="49">
      <x:c r="A49" s="10" t="n">
        <x:v>12</x:v>
      </x:c>
      <x:c r="B49" s="12" t="str">
        <x:v>C</x:v>
      </x:c>
      <x:c r="C49" s="12" t="str">
        <x:v>E</x:v>
      </x:c>
      <x:c r="D49" s="12" t="n">
        <x:f>D15-D17</x:f>
        <x:v>1.8000000000000007</x:v>
      </x:c>
      <x:c r="E49" s="12" t="n">
        <x:f>D49/SQRT($B$31*(1/B15+1/B17))</x:f>
        <x:v>0.9938837346736193</x:v>
      </x:c>
      <x:c r="F49" s="12" t="str">
        <x:f>IF(ABS(E49)&gt;2.086,"Reject","Accept")</x:f>
        <x:v>Accept</x:v>
      </x:c>
    </x:row>
    <x:row r="50">
      <x:c r="A50" s="10" t="n">
        <x:v>13</x:v>
      </x:c>
      <x:c r="B50" s="12" t="str">
        <x:v>D</x:v>
      </x:c>
      <x:c r="C50" s="12" t="str">
        <x:v>A</x:v>
      </x:c>
      <x:c r="D50" s="12" t="n">
        <x:f>D16-D13</x:f>
        <x:v>8</x:v>
      </x:c>
      <x:c r="E50" s="12" t="n">
        <x:f>D50/SQRT($B$31*(1/B16+1/B13))</x:f>
        <x:v>4.417261042993862</x:v>
      </x:c>
      <x:c r="F50" s="12" t="str">
        <x:f>IF(ABS(E50)&gt;2.086,"Reject","Accept")</x:f>
        <x:v>Reject</x:v>
      </x:c>
    </x:row>
    <x:row r="51">
      <x:c r="A51" s="10" t="n">
        <x:v>14</x:v>
      </x:c>
      <x:c r="B51" s="12" t="str">
        <x:v>D</x:v>
      </x:c>
      <x:c r="C51" s="12" t="str">
        <x:v>B</x:v>
      </x:c>
      <x:c r="D51" s="12" t="n">
        <x:f>D16-D14</x:f>
        <x:v>2</x:v>
      </x:c>
      <x:c r="E51" s="12" t="n">
        <x:f>D51/SQRT($B$31*(1/B16+1/B14))</x:f>
        <x:v>1.1043152607484654</x:v>
      </x:c>
      <x:c r="F51" s="12" t="str">
        <x:f>IF(ABS(E51)&gt;2.086,"Reject","Accept")</x:f>
        <x:v>Accept</x:v>
      </x:c>
    </x:row>
    <x:row r="52">
      <x:c r="A52" s="10" t="n">
        <x:v>15</x:v>
      </x:c>
      <x:c r="B52" s="12" t="str">
        <x:v>D</x:v>
      </x:c>
      <x:c r="C52" s="12" t="str">
        <x:v>C</x:v>
      </x:c>
      <x:c r="D52" s="12" t="n">
        <x:f>D16-D15</x:f>
        <x:v>0.3999999999999986</x:v>
      </x:c>
      <x:c r="E52" s="12" t="n">
        <x:f>D52/SQRT($B$31*(1/B16+1/B15))</x:f>
        <x:v>0.22086305214969232</x:v>
      </x:c>
      <x:c r="F52" s="12" t="str">
        <x:f>IF(ABS(E52)&gt;2.086,"Reject","Accept")</x:f>
        <x:v>Accept</x:v>
      </x:c>
    </x:row>
    <x:row r="53">
      <x:c r="A53" s="10" t="n">
        <x:v>16</x:v>
      </x:c>
      <x:c r="B53" s="12" t="str">
        <x:v>D</x:v>
      </x:c>
      <x:c r="C53" s="12" t="str">
        <x:v>E</x:v>
      </x:c>
      <x:c r="D53" s="12" t="n">
        <x:f>D16-D17</x:f>
        <x:v>2.1999999999999993</x:v>
      </x:c>
      <x:c r="E53" s="12" t="n">
        <x:f>D53/SQRT($B$31*(1/B16+1/B17))</x:f>
        <x:v>1.2147467868233117</x:v>
      </x:c>
      <x:c r="F53" s="12" t="str">
        <x:f>IF(ABS(E53)&gt;2.086,"Reject","Accept")</x:f>
        <x:v>Accept</x:v>
      </x:c>
    </x:row>
    <x:row r="54">
      <x:c r="A54" s="10" t="n">
        <x:v>17</x:v>
      </x:c>
      <x:c r="B54" s="12" t="str">
        <x:v>E</x:v>
      </x:c>
      <x:c r="C54" s="12" t="str">
        <x:v>A</x:v>
      </x:c>
      <x:c r="D54" s="12" t="n">
        <x:f>D17-D13</x:f>
        <x:v>5.800000000000001</x:v>
      </x:c>
      <x:c r="E54" s="12" t="n">
        <x:f>D54/SQRT($B$31*(1/B17+1/B13))</x:f>
        <x:v>3.2025142561705504</x:v>
      </x:c>
      <x:c r="F54" s="12" t="str">
        <x:f>IF(ABS(E54)&gt;2.086,"Reject","Accept")</x:f>
        <x:v>Reject</x:v>
      </x:c>
    </x:row>
    <x:row r="55">
      <x:c r="A55" s="10" t="n">
        <x:v>18</x:v>
      </x:c>
      <x:c r="B55" s="12" t="str">
        <x:v>E</x:v>
      </x:c>
      <x:c r="C55" s="12" t="str">
        <x:v>B</x:v>
      </x:c>
      <x:c r="D55" s="12" t="n">
        <x:f>D17-D14</x:f>
        <x:v>-0.1999999999999993</x:v>
      </x:c>
      <x:c r="E55" s="12" t="n">
        <x:f>D55/SQRT($B$31*(1/B17+1/B14))</x:f>
        <x:v>-0.11043152607484616</x:v>
      </x:c>
      <x:c r="F55" s="12" t="str">
        <x:f>IF(ABS(E55)&gt;2.086,"Reject","Accept")</x:f>
        <x:v>Accept</x:v>
      </x:c>
    </x:row>
    <x:row r="56">
      <x:c r="A56" s="10" t="n">
        <x:v>19</x:v>
      </x:c>
      <x:c r="B56" s="12" t="str">
        <x:v>E</x:v>
      </x:c>
      <x:c r="C56" s="12" t="str">
        <x:v>C</x:v>
      </x:c>
      <x:c r="D56" s="12" t="n">
        <x:f>D17-D15</x:f>
        <x:v>-1.8000000000000007</x:v>
      </x:c>
      <x:c r="E56" s="12" t="n">
        <x:f>D56/SQRT($B$31*(1/B17+1/B15))</x:f>
        <x:v>-0.9938837346736193</x:v>
      </x:c>
      <x:c r="F56" s="12" t="str">
        <x:f>IF(ABS(E56)&gt;2.086,"Reject","Accept")</x:f>
        <x:v>Accept</x:v>
      </x:c>
    </x:row>
    <x:row r="57">
      <x:c r="A57" s="10" t="n">
        <x:v>20</x:v>
      </x:c>
      <x:c r="B57" s="12" t="str">
        <x:v>E</x:v>
      </x:c>
      <x:c r="C57" s="12" t="str">
        <x:v>D</x:v>
      </x:c>
      <x:c r="D57" s="12" t="n">
        <x:f>D17-D16</x:f>
        <x:v>-2.1999999999999993</x:v>
      </x:c>
      <x:c r="E57" s="12" t="n">
        <x:f>D57/SQRT($B$31*(1/B17+1/B16))</x:f>
        <x:v>-1.2147467868233117</x:v>
      </x:c>
      <x:c r="F57" s="12" t="str">
        <x:f>IF(ABS(E57)&gt;2.086,"Reject","Accept")</x:f>
        <x:v>Accept</x:v>
      </x:c>
    </x:row>
    <x:row r="60">
      <x:c r="A60" s="15" t="str">
        <x:v>Section 2: Written Practical Content</x:v>
      </x:c>
      <x:c r="B60" s="7"/>
      <x:c r="C60" s="7"/>
      <x:c r="D60" s="7"/>
      <x:c r="E60" s="7"/>
      <x:c r="F60" s="7"/>
      <x:c r="G60" s="7"/>
      <x:c r="H60" s="7"/>
      <x:c r="I60" s="7"/>
      <x:c r="J60" s="7"/>
    </x:row>
    <x:row r="61">
      <x:c r="A61" s="7"/>
      <x:c r="B61" s="7"/>
      <x:c r="C61" s="7"/>
      <x:c r="D61" s="7"/>
      <x:c r="E61" s="7"/>
      <x:c r="F61" s="7"/>
      <x:c r="G61" s="7"/>
      <x:c r="H61" s="7"/>
      <x:c r="I61" s="7"/>
      <x:c r="J61" s="7"/>
    </x:row>
    <x:row r="62">
      <x:c r="A62" s="15" t="str">
        <x:v>Aim</x:v>
      </x:c>
      <x:c r="B62" s="7" t="str">
        <x:v>To analyze the data and draw conclusion of completely randomized data (CRD).</x:v>
      </x:c>
      <x:c r="C62" s="7"/>
      <x:c r="D62" s="7"/>
      <x:c r="E62" s="7"/>
      <x:c r="F62" s="7"/>
      <x:c r="G62" s="7"/>
      <x:c r="H62" s="7"/>
      <x:c r="I62" s="7"/>
      <x:c r="J62" s="7"/>
    </x:row>
    <x:row r="63">
      <x:c r="A63" s="7"/>
      <x:c r="B63" s="7"/>
      <x:c r="C63" s="7"/>
      <x:c r="D63" s="7"/>
      <x:c r="E63" s="7"/>
      <x:c r="F63" s="7"/>
      <x:c r="G63" s="7"/>
      <x:c r="H63" s="7"/>
      <x:c r="I63" s="7"/>
      <x:c r="J63" s="7"/>
    </x:row>
    <x:row r="64">
      <x:c r="A64" s="15" t="str">
        <x:v>Experiment</x:v>
      </x:c>
      <x:c r="B64" s="7" t="str">
        <x:v>Yield data are arranged according to five plans/treatments A, B, C, D and E.</x:v>
      </x:c>
      <x:c r="C64" s="7"/>
      <x:c r="D64" s="7"/>
      <x:c r="E64" s="7"/>
      <x:c r="F64" s="7"/>
      <x:c r="G64" s="7"/>
      <x:c r="H64" s="7"/>
      <x:c r="I64" s="7"/>
      <x:c r="J64" s="7"/>
    </x:row>
    <x:row r="65">
      <x:c r="A65" s="7"/>
      <x:c r="B65" s="7"/>
      <x:c r="C65" s="7"/>
      <x:c r="D65" s="7"/>
      <x:c r="E65" s="7"/>
      <x:c r="F65" s="7"/>
      <x:c r="G65" s="7"/>
      <x:c r="H65" s="7"/>
      <x:c r="I65" s="7"/>
      <x:c r="J65" s="7"/>
    </x:row>
    <x:row r="66">
      <x:c r="A66" s="15" t="str">
        <x:v>Theory &amp; Formula</x:v>
      </x:c>
      <x:c r="B66" s="7" t="str">
        <x:v>CRD model: Yij=µ+αi+eij. Treatment SS=Σ(T_i²/r_i)-CF, Total SS=Σy²-CF, Error SS=Total SS-Treatment SS, F=MST/MSE.</x:v>
      </x:c>
      <x:c r="C66" s="7"/>
      <x:c r="D66" s="7"/>
      <x:c r="E66" s="7"/>
      <x:c r="F66" s="7"/>
      <x:c r="G66" s="7"/>
      <x:c r="H66" s="7"/>
      <x:c r="I66" s="7"/>
      <x:c r="J66" s="7"/>
    </x:row>
    <x:row r="67">
      <x:c r="A67" s="7"/>
      <x:c r="B67" s="7"/>
      <x:c r="C67" s="7"/>
      <x:c r="D67" s="7"/>
      <x:c r="E67" s="7"/>
      <x:c r="F67" s="7"/>
      <x:c r="G67" s="7"/>
      <x:c r="H67" s="7"/>
      <x:c r="I67" s="7"/>
      <x:c r="J67" s="7"/>
    </x:row>
    <x:row r="68">
      <x:c r="A68" s="15" t="str">
        <x:v>Calculation Steps</x:v>
      </x:c>
      <x:c r="B68" s="7" t="str">
        <x:v>Enter the yields treatment-wise. Use COUNT, SUM, AVERAGE and VAR.S for summaries. Build the ANOVA table using formula cells and compare calculated F with the tabulated value.</x:v>
      </x:c>
      <x:c r="C68" s="7"/>
      <x:c r="D68" s="7"/>
      <x:c r="E68" s="7"/>
      <x:c r="F68" s="7"/>
      <x:c r="G68" s="7"/>
      <x:c r="H68" s="7"/>
      <x:c r="I68" s="7"/>
      <x:c r="J68" s="7"/>
    </x:row>
    <x:row r="69">
      <x:c r="A69" s="7"/>
      <x:c r="B69" s="7"/>
      <x:c r="C69" s="7"/>
      <x:c r="D69" s="7"/>
      <x:c r="E69" s="7"/>
      <x:c r="F69" s="7"/>
      <x:c r="G69" s="7"/>
      <x:c r="H69" s="7"/>
      <x:c r="I69" s="7"/>
      <x:c r="J69" s="7"/>
    </x:row>
    <x:row r="70">
      <x:c r="A70" s="15" t="str">
        <x:v>Result</x:v>
      </x:c>
      <x:c r="B70" s="7" t="str">
        <x:v>The ANOVA table and pairwise t-test calculations are formula-driven.</x:v>
      </x:c>
      <x:c r="C70" s="7"/>
      <x:c r="D70" s="7"/>
      <x:c r="E70" s="7"/>
      <x:c r="F70" s="7"/>
      <x:c r="G70" s="7"/>
      <x:c r="H70" s="7"/>
      <x:c r="I70" s="7"/>
      <x:c r="J70" s="7"/>
    </x:row>
    <x:row r="71">
      <x:c r="A71" s="7"/>
      <x:c r="B71" s="7"/>
      <x:c r="C71" s="7"/>
      <x:c r="D71" s="7"/>
      <x:c r="E71" s="7"/>
      <x:c r="F71" s="7"/>
      <x:c r="G71" s="7"/>
      <x:c r="H71" s="7"/>
      <x:c r="I71" s="7"/>
      <x:c r="J71" s="7"/>
    </x:row>
    <x:row r="72">
      <x:c r="A72" s="15" t="str">
        <x:v>Conclusion</x:v>
      </x:c>
      <x:c r="B72" s="7" t="str">
        <x:v>The decision cell states whether the null hypothesis of equal treatment means is accepted or rejected.</x:v>
      </x:c>
      <x:c r="C72" s="7"/>
      <x:c r="D72" s="7"/>
      <x:c r="E72" s="7"/>
      <x:c r="F72" s="7"/>
      <x:c r="G72" s="7"/>
      <x:c r="H72" s="7"/>
      <x:c r="I72" s="7"/>
      <x:c r="J72" s="7"/>
    </x:row>
    <x:row r="73">
      <x:c r="A73" s="7"/>
      <x:c r="B73" s="7"/>
      <x:c r="C73" s="7"/>
      <x:c r="D73" s="7"/>
      <x:c r="E73" s="7"/>
      <x:c r="F73" s="7"/>
      <x:c r="G73" s="7"/>
      <x:c r="H73" s="7"/>
      <x:c r="I73" s="7"/>
      <x:c r="J73" s="7"/>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s>
  <x:sheetData>
    <x:row r="1">
      <x:c r="A1" s="6" t="str">
        <x:v>Exp 11 - CRD ANOVA for nitrogen losses</x:v>
      </x:c>
      <x:c r="B1" s="7"/>
      <x:c r="C1" s="7"/>
      <x:c r="D1" s="7"/>
      <x:c r="E1" s="7"/>
      <x:c r="F1" s="7"/>
      <x:c r="G1" s="7"/>
      <x:c r="H1" s="7"/>
      <x:c r="I1" s="7"/>
      <x:c r="J1" s="7"/>
      <x:c r="K1" s="7"/>
      <x:c r="L1" s="7"/>
      <x:c r="M1" s="7"/>
      <x:c r="N1" s="7"/>
    </x:row>
    <x:row r="3">
      <x:c r="A3" s="4" t="str">
        <x:v>Section 1: Excel Work</x:v>
      </x:c>
    </x:row>
    <x:row r="5">
      <x:c r="A5" s="17" t="str">
        <x:v>Continuous small grain</x:v>
      </x:c>
      <x:c r="B5" s="17" t="str">
        <x:v>Alternate small shell</x:v>
      </x:c>
      <x:c r="C5" s="17" t="str">
        <x:v>Small grain manure</x:v>
      </x:c>
      <x:c r="D5" s="17" t="str">
        <x:v>Small rain peas</x:v>
      </x:c>
      <x:c r="E5" s="18"/>
      <x:c r="F5" s="18"/>
    </x:row>
    <x:row r="6">
      <x:c r="A6" s="18" t="n">
        <x:v>0.012</x:v>
      </x:c>
      <x:c r="B6" s="18" t="n">
        <x:v>0.011</x:v>
      </x:c>
      <x:c r="C6" s="18" t="n">
        <x:v>0.019</x:v>
      </x:c>
      <x:c r="D6" s="18" t="n">
        <x:v>0.006</x:v>
      </x:c>
      <x:c r="E6" s="18"/>
      <x:c r="F6" s="18"/>
    </x:row>
    <x:row r="7">
      <x:c r="A7" s="18" t="n">
        <x:v>0.019</x:v>
      </x:c>
      <x:c r="B7" s="18" t="n">
        <x:v>0.018</x:v>
      </x:c>
      <x:c r="C7" s="18" t="n">
        <x:v>0.026</x:v>
      </x:c>
      <x:c r="D7" s="18" t="n">
        <x:v>0.02</x:v>
      </x:c>
      <x:c r="E7" s="18"/>
      <x:c r="F7" s="18"/>
    </x:row>
    <x:row r="8">
      <x:c r="A8" s="18" t="n">
        <x:v>0.028</x:v>
      </x:c>
      <x:c r="B8" s="18" t="n">
        <x:v>0.033</x:v>
      </x:c>
      <x:c r="C8" s="18" t="n">
        <x:v>0.008</x:v>
      </x:c>
      <x:c r="D8" s="18" t="n">
        <x:v>0.028</x:v>
      </x:c>
      <x:c r="E8" s="18"/>
      <x:c r="F8" s="18"/>
    </x:row>
    <x:row r="9">
      <x:c r="A9" s="18" t="n">
        <x:v>0.017</x:v>
      </x:c>
      <x:c r="B9" s="18" t="n">
        <x:v>0.03</x:v>
      </x:c>
      <x:c r="C9" s="18" t="n">
        <x:v>0.032</x:v>
      </x:c>
      <x:c r="D9" s="18" t="n">
        <x:v>0.012</x:v>
      </x:c>
      <x:c r="E9" s="18"/>
      <x:c r="F9" s="18"/>
    </x:row>
    <x:row r="10">
      <x:c r="A10" s="18" t="n">
        <x:v>0.017</x:v>
      </x:c>
      <x:c r="B10" s="18" t="n">
        <x:v>0.029</x:v>
      </x:c>
      <x:c r="C10" s="18" t="n">
        <x:v>0.011</x:v>
      </x:c>
      <x:c r="D10" s="18" t="n">
        <x:v>0.009</x:v>
      </x:c>
      <x:c r="E10" s="18"/>
      <x:c r="F10" s="18"/>
    </x:row>
    <x:row r="11">
      <x:c r="A11" s="18"/>
      <x:c r="B11" s="18" t="n">
        <x:v>0.022</x:v>
      </x:c>
      <x:c r="C11" s="18" t="n">
        <x:v>0.018</x:v>
      </x:c>
      <x:c r="D11" s="18" t="n">
        <x:v>0.01</x:v>
      </x:c>
      <x:c r="E11" s="18"/>
      <x:c r="F11" s="18"/>
    </x:row>
    <x:row r="12">
      <x:c r="A12" s="18"/>
      <x:c r="B12" s="18" t="n">
        <x:v>0.022</x:v>
      </x:c>
      <x:c r="C12" s="18" t="n">
        <x:v>0.018</x:v>
      </x:c>
      <x:c r="D12" s="18" t="n">
        <x:v>0.01</x:v>
      </x:c>
      <x:c r="E12" s="18"/>
      <x:c r="F12" s="18"/>
    </x:row>
    <x:row r="13">
      <x:c r="A13" s="18"/>
      <x:c r="B13" s="18" t="n">
        <x:v>0.029</x:v>
      </x:c>
      <x:c r="C13" s="18" t="n">
        <x:v>0.031</x:v>
      </x:c>
      <x:c r="D13" s="18" t="n">
        <x:v>0.015</x:v>
      </x:c>
      <x:c r="E13" s="18"/>
      <x:c r="F13" s="18"/>
    </x:row>
    <x:row r="14">
      <x:c r="A14" s="18"/>
      <x:c r="B14" s="18"/>
      <x:c r="C14" s="18" t="n">
        <x:v>0.018</x:v>
      </x:c>
      <x:c r="D14" s="18"/>
      <x:c r="E14" s="18"/>
      <x:c r="F14" s="18"/>
    </x:row>
    <x:row r="15">
      <x:c r="A15" s="18"/>
      <x:c r="B15" s="18"/>
      <x:c r="C15" s="18"/>
      <x:c r="D15" s="18"/>
      <x:c r="E15" s="18"/>
      <x:c r="F15" s="18"/>
    </x:row>
    <x:row r="16">
      <x:c r="A16" s="18"/>
      <x:c r="B16" s="18"/>
      <x:c r="C16" s="18"/>
      <x:c r="D16" s="18"/>
      <x:c r="E16" s="18"/>
      <x:c r="F16" s="18"/>
    </x:row>
    <x:row r="17">
      <x:c r="A17" s="17" t="str">
        <x:v>Summary</x:v>
      </x:c>
      <x:c r="B17" s="17" t="str">
        <x:v>Continuous small grain</x:v>
      </x:c>
      <x:c r="C17" s="17" t="str">
        <x:v>Alternate small shell</x:v>
      </x:c>
      <x:c r="D17" s="17" t="str">
        <x:v>Small grain manure</x:v>
      </x:c>
      <x:c r="E17" s="17" t="str">
        <x:v>Small rain peas</x:v>
      </x:c>
      <x:c r="F17" s="17" t="str">
        <x:v>Total</x:v>
      </x:c>
    </x:row>
    <x:row r="18">
      <x:c r="A18" s="18" t="str">
        <x:v>r_i</x:v>
      </x:c>
      <x:c r="B18" s="18" t="n">
        <x:f>COUNT(A6:A14)</x:f>
        <x:v>5</x:v>
      </x:c>
      <x:c r="C18" s="18" t="n">
        <x:f>COUNT(B6:B14)</x:f>
        <x:v>8</x:v>
      </x:c>
      <x:c r="D18" s="18" t="n">
        <x:f>COUNT(C6:C14)</x:f>
        <x:v>9</x:v>
      </x:c>
      <x:c r="E18" s="18" t="n">
        <x:f>COUNT(D6:D14)</x:f>
        <x:v>8</x:v>
      </x:c>
      <x:c r="F18" s="18" t="n">
        <x:f>SUM(B18:E18)</x:f>
        <x:v>30</x:v>
      </x:c>
    </x:row>
    <x:row r="19">
      <x:c r="A19" s="18" t="str">
        <x:v>T_i0</x:v>
      </x:c>
      <x:c r="B19" s="18" t="n">
        <x:f>SUM(A6:A14)</x:f>
        <x:v>0.093</x:v>
      </x:c>
      <x:c r="C19" s="18" t="n">
        <x:f>SUM(B6:B14)</x:f>
        <x:v>0.19399999999999998</x:v>
      </x:c>
      <x:c r="D19" s="18" t="n">
        <x:f>SUM(C6:C14)</x:f>
        <x:v>0.18099999999999997</x:v>
      </x:c>
      <x:c r="E19" s="18" t="n">
        <x:f>SUM(D6:D14)</x:f>
        <x:v>0.10999999999999999</x:v>
      </x:c>
      <x:c r="F19" s="18" t="n">
        <x:f>SUM(B19:E19)</x:f>
        <x:v>0.578</x:v>
      </x:c>
    </x:row>
    <x:row r="20">
      <x:c r="A20" s="18" t="str">
        <x:v>T_i0²</x:v>
      </x:c>
      <x:c r="B20" s="18" t="n">
        <x:f>B19^2</x:f>
        <x:v>0.008649</x:v>
      </x:c>
      <x:c r="C20" s="18" t="n">
        <x:f>C19^2</x:f>
        <x:v>0.03763599999999999</x:v>
      </x:c>
      <x:c r="D20" s="18" t="n">
        <x:f>D19^2</x:f>
        <x:v>0.032760999999999985</x:v>
      </x:c>
      <x:c r="E20" s="18" t="n">
        <x:f>E19^2</x:f>
        <x:v>0.012099999999999998</x:v>
      </x:c>
      <x:c r="F20" s="18" t="n">
        <x:f>SUM(B20:E20)</x:f>
        <x:v>0.09114599999999998</x:v>
      </x:c>
    </x:row>
    <x:row r="21">
      <x:c r="A21" s="18" t="str">
        <x:v>T_i0²/r_i</x:v>
      </x:c>
      <x:c r="B21" s="18" t="n">
        <x:f>B20/B18</x:f>
        <x:v>0.0017298</x:v>
      </x:c>
      <x:c r="C21" s="18" t="n">
        <x:f>C20/C18</x:f>
        <x:v>0.004704499999999999</x:v>
      </x:c>
      <x:c r="D21" s="18" t="n">
        <x:f>D20/D18</x:f>
        <x:v>0.0036401111111111096</x:v>
      </x:c>
      <x:c r="E21" s="18" t="n">
        <x:f>E20/E18</x:f>
        <x:v>0.0015124999999999997</x:v>
      </x:c>
      <x:c r="F21" s="18" t="n">
        <x:f>SUM(B21:E21)</x:f>
        <x:v>0.011586911111111108</x:v>
      </x:c>
    </x:row>
    <x:row r="22">
      <x:c r="A22" s="18"/>
      <x:c r="B22" s="18"/>
      <x:c r="C22" s="18"/>
      <x:c r="D22" s="18"/>
      <x:c r="E22" s="18"/>
      <x:c r="F22" s="18"/>
    </x:row>
    <x:row r="23">
      <x:c r="A23" s="18"/>
      <x:c r="B23" s="18"/>
      <x:c r="C23" s="18"/>
      <x:c r="D23" s="18"/>
      <x:c r="E23" s="18"/>
      <x:c r="F23" s="18"/>
    </x:row>
    <x:row r="24">
      <x:c r="A24" s="17" t="str">
        <x:v>ANOVA</x:v>
      </x:c>
      <x:c r="B24" s="17" t="str">
        <x:v>Formula/Value</x:v>
      </x:c>
      <x:c r="C24" s="18"/>
      <x:c r="D24" s="18"/>
      <x:c r="E24" s="18"/>
      <x:c r="F24" s="18"/>
    </x:row>
    <x:row r="25">
      <x:c r="A25" s="18" t="str">
        <x:v>Grand total</x:v>
      </x:c>
      <x:c r="B25" s="18" t="n">
        <x:f>F19</x:f>
        <x:v>0.578</x:v>
      </x:c>
      <x:c r="C25" s="18"/>
      <x:c r="D25" s="18"/>
      <x:c r="E25" s="18"/>
      <x:c r="F25" s="18"/>
    </x:row>
    <x:row r="26">
      <x:c r="A26" s="18" t="str">
        <x:v>N</x:v>
      </x:c>
      <x:c r="B26" s="18" t="n">
        <x:f>F18</x:f>
        <x:v>30</x:v>
      </x:c>
      <x:c r="C26" s="18"/>
      <x:c r="D26" s="18"/>
      <x:c r="E26" s="18"/>
      <x:c r="F26" s="18"/>
    </x:row>
    <x:row r="27">
      <x:c r="A27" s="18" t="str">
        <x:v>Correction factor</x:v>
      </x:c>
      <x:c r="B27" s="18" t="n">
        <x:f>B25^2/B26</x:f>
        <x:v>0.011136133333333331</x:v>
      </x:c>
      <x:c r="C27" s="18"/>
      <x:c r="D27" s="18"/>
      <x:c r="E27" s="18"/>
      <x:c r="F27" s="18"/>
    </x:row>
    <x:row r="28">
      <x:c r="A28" s="18" t="str">
        <x:v>Treatment SS</x:v>
      </x:c>
      <x:c r="B28" s="18" t="n">
        <x:f>F21-B27</x:f>
        <x:v>0.0004507777777777774</x:v>
      </x:c>
      <x:c r="C28" s="18"/>
      <x:c r="D28" s="18"/>
      <x:c r="E28" s="18"/>
      <x:c r="F28" s="18"/>
    </x:row>
    <x:row r="29">
      <x:c r="A29" s="18" t="str">
        <x:v>Error SS</x:v>
      </x:c>
      <x:c r="B29" s="18" t="n">
        <x:f>B30-B28</x:f>
        <x:v>0.0014130888888888877</x:v>
      </x:c>
      <x:c r="C29" s="18"/>
      <x:c r="D29" s="18"/>
      <x:c r="E29" s="18"/>
      <x:c r="F29" s="18"/>
    </x:row>
    <x:row r="30">
      <x:c r="A30" s="18" t="str">
        <x:v>Total SS</x:v>
      </x:c>
      <x:c r="B30" s="18" t="n">
        <x:f>SUMSQ(A6:D14)-B27</x:f>
        <x:v>0.001863866666666665</x:v>
      </x:c>
      <x:c r="C30" s="18"/>
      <x:c r="D30" s="18"/>
      <x:c r="E30" s="18"/>
      <x:c r="F30" s="18"/>
    </x:row>
    <x:row r="31">
      <x:c r="A31" s="18" t="str">
        <x:v>Treatment df</x:v>
      </x:c>
      <x:c r="B31" s="18" t="n">
        <x:f>COUNT(B18:E18)-1</x:f>
        <x:v>3</x:v>
      </x:c>
      <x:c r="C31" s="18"/>
      <x:c r="D31" s="18"/>
      <x:c r="E31" s="18"/>
      <x:c r="F31" s="18"/>
    </x:row>
    <x:row r="32">
      <x:c r="A32" s="18" t="str">
        <x:v>Error df</x:v>
      </x:c>
      <x:c r="B32" s="18" t="n">
        <x:f>B26-COUNT(B18:E18)</x:f>
        <x:v>26</x:v>
      </x:c>
      <x:c r="C32" s="18"/>
      <x:c r="D32" s="18"/>
      <x:c r="E32" s="18"/>
      <x:c r="F32" s="18"/>
    </x:row>
    <x:row r="33">
      <x:c r="A33" s="18" t="str">
        <x:v>Total df</x:v>
      </x:c>
      <x:c r="B33" s="18" t="n">
        <x:f>B26-1</x:f>
        <x:v>29</x:v>
      </x:c>
      <x:c r="C33" s="18"/>
      <x:c r="D33" s="18"/>
      <x:c r="E33" s="18"/>
      <x:c r="F33" s="18"/>
    </x:row>
    <x:row r="34">
      <x:c r="A34" s="18" t="str">
        <x:v>MST</x:v>
      </x:c>
      <x:c r="B34" s="18" t="n">
        <x:f>B28/B31</x:f>
        <x:v>0.00015025925925925913</x:v>
      </x:c>
      <x:c r="C34" s="18"/>
      <x:c r="D34" s="18"/>
      <x:c r="E34" s="18"/>
      <x:c r="F34" s="18"/>
    </x:row>
    <x:row r="35">
      <x:c r="A35" s="18" t="str">
        <x:v>MSE</x:v>
      </x:c>
      <x:c r="B35" s="18" t="n">
        <x:f>B29/B32</x:f>
        <x:v>0.0000543495726495726</x:v>
      </x:c>
      <x:c r="C35" s="18"/>
      <x:c r="D35" s="18"/>
      <x:c r="E35" s="18"/>
      <x:c r="F35" s="18"/>
    </x:row>
    <x:row r="36">
      <x:c r="A36" s="18" t="str">
        <x:v>F calculated</x:v>
      </x:c>
      <x:c r="B36" s="18" t="n">
        <x:f>B34/B35</x:f>
        <x:v>2.7646815224855454</x:v>
      </x:c>
      <x:c r="C36" s="18"/>
      <x:c r="D36" s="18"/>
      <x:c r="E36" s="18"/>
      <x:c r="F36" s="18"/>
    </x:row>
    <x:row r="37">
      <x:c r="A37" s="18" t="str">
        <x:v>F tabulated 5% (input)</x:v>
      </x:c>
      <x:c r="B37" s="18" t="n">
        <x:v>2.975</x:v>
      </x:c>
      <x:c r="C37" s="18"/>
      <x:c r="D37" s="18"/>
      <x:c r="E37" s="18"/>
      <x:c r="F37" s="18"/>
    </x:row>
    <x:row r="38">
      <x:c r="A38" s="18" t="str">
        <x:v>Decision</x:v>
      </x:c>
      <x:c r="B38" s="18" t="str">
        <x:f>IF(B36&gt;B37,"Reject H0","Accept H0")</x:f>
        <x:v>Accept H0</x:v>
      </x:c>
      <x:c r="C38" s="18"/>
      <x:c r="D38" s="18"/>
      <x:c r="E38" s="18"/>
      <x:c r="F38" s="18"/>
    </x:row>
    <x:row r="41">
      <x:c r="A41" s="15" t="str">
        <x:v>Section 2: Written Practical Content</x:v>
      </x:c>
      <x:c r="B41" s="7"/>
      <x:c r="C41" s="7"/>
      <x:c r="D41" s="7"/>
      <x:c r="E41" s="7"/>
      <x:c r="F41" s="7"/>
      <x:c r="G41" s="7"/>
      <x:c r="H41" s="7"/>
      <x:c r="I41" s="7"/>
      <x:c r="J41" s="7"/>
    </x:row>
    <x:row r="42">
      <x:c r="A42" s="7"/>
      <x:c r="B42" s="7"/>
      <x:c r="C42" s="7"/>
      <x:c r="D42" s="7"/>
      <x:c r="E42" s="7"/>
      <x:c r="F42" s="7"/>
      <x:c r="G42" s="7"/>
      <x:c r="H42" s="7"/>
      <x:c r="I42" s="7"/>
      <x:c r="J42" s="7"/>
    </x:row>
    <x:row r="43">
      <x:c r="A43" s="15" t="str">
        <x:v>Aim</x:v>
      </x:c>
      <x:c r="B43" s="7" t="str">
        <x:v>To analyze nitrogen losses data using Completely Randomized Design (CRD).</x:v>
      </x:c>
      <x:c r="C43" s="7"/>
      <x:c r="D43" s="7"/>
      <x:c r="E43" s="7"/>
      <x:c r="F43" s="7"/>
      <x:c r="G43" s="7"/>
      <x:c r="H43" s="7"/>
      <x:c r="I43" s="7"/>
      <x:c r="J43" s="7"/>
    </x:row>
    <x:row r="44">
      <x:c r="A44" s="7"/>
      <x:c r="B44" s="7"/>
      <x:c r="C44" s="7"/>
      <x:c r="D44" s="7"/>
      <x:c r="E44" s="7"/>
      <x:c r="F44" s="7"/>
      <x:c r="G44" s="7"/>
      <x:c r="H44" s="7"/>
      <x:c r="I44" s="7"/>
      <x:c r="J44" s="7"/>
    </x:row>
    <x:row r="45">
      <x:c r="A45" s="15" t="str">
        <x:v>Experiment</x:v>
      </x:c>
      <x:c r="B45" s="7" t="str">
        <x:v>Nitrogen loss observations are provided for four crop rotation treatments with unequal replications.</x:v>
      </x:c>
      <x:c r="C45" s="7"/>
      <x:c r="D45" s="7"/>
      <x:c r="E45" s="7"/>
      <x:c r="F45" s="7"/>
      <x:c r="G45" s="7"/>
      <x:c r="H45" s="7"/>
      <x:c r="I45" s="7"/>
      <x:c r="J45" s="7"/>
    </x:row>
    <x:row r="46">
      <x:c r="A46" s="7"/>
      <x:c r="B46" s="7"/>
      <x:c r="C46" s="7"/>
      <x:c r="D46" s="7"/>
      <x:c r="E46" s="7"/>
      <x:c r="F46" s="7"/>
      <x:c r="G46" s="7"/>
      <x:c r="H46" s="7"/>
      <x:c r="I46" s="7"/>
      <x:c r="J46" s="7"/>
    </x:row>
    <x:row r="47">
      <x:c r="A47" s="15" t="str">
        <x:v>Theory &amp; Formula</x:v>
      </x:c>
      <x:c r="B47" s="7" t="str">
        <x:v>For unequal replication CRD, CF=G²/N, Treatment SS=Σ(T_i²/r_i)-CF, Total SS=Σy²-CF, Error SS=Total SS-Treatment SS and F=MST/MSE.</x:v>
      </x:c>
      <x:c r="C47" s="7"/>
      <x:c r="D47" s="7"/>
      <x:c r="E47" s="7"/>
      <x:c r="F47" s="7"/>
      <x:c r="G47" s="7"/>
      <x:c r="H47" s="7"/>
      <x:c r="I47" s="7"/>
      <x:c r="J47" s="7"/>
    </x:row>
    <x:row r="48">
      <x:c r="A48" s="7"/>
      <x:c r="B48" s="7"/>
      <x:c r="C48" s="7"/>
      <x:c r="D48" s="7"/>
      <x:c r="E48" s="7"/>
      <x:c r="F48" s="7"/>
      <x:c r="G48" s="7"/>
      <x:c r="H48" s="7"/>
      <x:c r="I48" s="7"/>
      <x:c r="J48" s="7"/>
    </x:row>
    <x:row r="49">
      <x:c r="A49" s="15" t="str">
        <x:v>Calculation Steps</x:v>
      </x:c>
      <x:c r="B49" s="7" t="str">
        <x:v>Enter all observations in columns A to D. Use COUNT for r_i, SUM for treatment totals, and formula cells for T_i²/r_i, sums of squares, mean squares and F ratio.</x:v>
      </x:c>
      <x:c r="C49" s="7"/>
      <x:c r="D49" s="7"/>
      <x:c r="E49" s="7"/>
      <x:c r="F49" s="7"/>
      <x:c r="G49" s="7"/>
      <x:c r="H49" s="7"/>
      <x:c r="I49" s="7"/>
      <x:c r="J49" s="7"/>
    </x:row>
    <x:row r="50">
      <x:c r="A50" s="7"/>
      <x:c r="B50" s="7"/>
      <x:c r="C50" s="7"/>
      <x:c r="D50" s="7"/>
      <x:c r="E50" s="7"/>
      <x:c r="F50" s="7"/>
      <x:c r="G50" s="7"/>
      <x:c r="H50" s="7"/>
      <x:c r="I50" s="7"/>
      <x:c r="J50" s="7"/>
    </x:row>
    <x:row r="51">
      <x:c r="A51" s="15" t="str">
        <x:v>Result</x:v>
      </x:c>
      <x:c r="B51" s="7" t="str">
        <x:v>The ANOVA calculation is completed using Excel formulas.</x:v>
      </x:c>
      <x:c r="C51" s="7"/>
      <x:c r="D51" s="7"/>
      <x:c r="E51" s="7"/>
      <x:c r="F51" s="7"/>
      <x:c r="G51" s="7"/>
      <x:c r="H51" s="7"/>
      <x:c r="I51" s="7"/>
      <x:c r="J51" s="7"/>
    </x:row>
    <x:row r="52">
      <x:c r="A52" s="7"/>
      <x:c r="B52" s="7"/>
      <x:c r="C52" s="7"/>
      <x:c r="D52" s="7"/>
      <x:c r="E52" s="7"/>
      <x:c r="F52" s="7"/>
      <x:c r="G52" s="7"/>
      <x:c r="H52" s="7"/>
      <x:c r="I52" s="7"/>
      <x:c r="J52" s="7"/>
    </x:row>
    <x:row r="53">
      <x:c r="A53" s="15" t="str">
        <x:v>Conclusion</x:v>
      </x:c>
      <x:c r="B53" s="7" t="str">
        <x:v>The decision cell compares calculated F with the tabulated value and states whether treatment means differ significantly.</x:v>
      </x:c>
      <x:c r="C53" s="7"/>
      <x:c r="D53" s="7"/>
      <x:c r="E53" s="7"/>
      <x:c r="F53" s="7"/>
      <x:c r="G53" s="7"/>
      <x:c r="H53" s="7"/>
      <x:c r="I53" s="7"/>
      <x:c r="J53" s="7"/>
    </x:row>
    <x:row r="54">
      <x:c r="A54" s="7"/>
      <x:c r="B54" s="7"/>
      <x:c r="C54" s="7"/>
      <x:c r="D54" s="7"/>
      <x:c r="E54" s="7"/>
      <x:c r="F54" s="7"/>
      <x:c r="G54" s="7"/>
      <x:c r="H54" s="7"/>
      <x:c r="I54" s="7"/>
      <x:c r="J54" s="7"/>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16" hidden="0" customWidth="1"/>
    <x:col min="3" max="3" width="14" hidden="0" customWidth="1"/>
    <x:col min="4" max="4" width="14" hidden="0" customWidth="1"/>
    <x:col min="5" max="5" width="16" hidden="0" customWidth="1"/>
    <x:col min="6" max="6" width="14" hidden="0" customWidth="1"/>
    <x:col min="7" max="7" width="18" hidden="0" customWidth="1"/>
    <x:col min="8" max="8" width="18" hidden="0" customWidth="1"/>
    <x:col min="9" max="9" width="16" hidden="0" customWidth="1"/>
    <x:col min="10" max="10" width="16" hidden="0" customWidth="1"/>
    <x:col min="11" max="11" width="16" hidden="0" customWidth="1"/>
    <x:col min="12" max="12" width="16" hidden="0" customWidth="1"/>
    <x:col min="13" max="13" width="18" hidden="0" customWidth="1"/>
    <x:col min="14" max="14" width="18" hidden="0" customWidth="1"/>
  </x:cols>
  <x:sheetData>
    <x:row r="1" ht="40.283203125" hidden="0" customHeight="1">
      <x:c r="A1" s="22" t="str">
        <x:v>Exp 12 - 2^3 Factorial Design in RBD using Yates Method</x:v>
      </x:c>
      <x:c r="B1" s="22" t="str"/>
      <x:c r="C1" s="22" t="str"/>
      <x:c r="D1" s="22" t="str"/>
      <x:c r="E1" s="22" t="str"/>
      <x:c r="F1" s="22" t="str"/>
      <x:c r="G1" s="22" t="str"/>
      <x:c r="H1" s="22" t="str"/>
      <x:c r="I1" s="21"/>
      <x:c r="J1" s="21"/>
      <x:c r="K1" s="21"/>
      <x:c r="L1" s="21"/>
      <x:c r="M1" s="21"/>
      <x:c r="N1" s="21"/>
    </x:row>
    <x:row r="2" ht="15" hidden="0" customHeight="1">
      <x:c r="A2" s="21"/>
      <x:c r="B2" s="21"/>
      <x:c r="C2" s="21"/>
      <x:c r="D2" s="21"/>
      <x:c r="E2" s="21"/>
      <x:c r="F2" s="21"/>
      <x:c r="G2" s="21"/>
      <x:c r="H2" s="21"/>
      <x:c r="I2" s="21"/>
      <x:c r="J2" s="21"/>
      <x:c r="K2" s="21"/>
      <x:c r="L2" s="21"/>
      <x:c r="M2" s="21"/>
      <x:c r="N2" s="21"/>
    </x:row>
    <x:row r="3" ht="15" hidden="0" customHeight="1">
      <x:c r="A3" s="22" t="str">
        <x:v>Section 1: Excel Work</x:v>
      </x:c>
      <x:c r="B3" s="22" t="str"/>
      <x:c r="C3" s="22" t="str"/>
      <x:c r="D3" s="22" t="str"/>
      <x:c r="E3" s="22" t="str"/>
      <x:c r="F3" s="22" t="str"/>
      <x:c r="G3" s="22" t="str"/>
      <x:c r="H3" s="22" t="str"/>
      <x:c r="I3" s="21"/>
      <x:c r="J3" s="21"/>
      <x:c r="K3" s="21"/>
      <x:c r="L3" s="21"/>
      <x:c r="M3" s="21"/>
      <x:c r="N3" s="21"/>
    </x:row>
    <x:row r="4" ht="15" hidden="0" customHeight="1">
      <x:c r="A4" s="21"/>
      <x:c r="B4" s="21"/>
      <x:c r="C4" s="21"/>
      <x:c r="D4" s="21"/>
      <x:c r="E4" s="21"/>
      <x:c r="F4" s="21"/>
      <x:c r="G4" s="21"/>
      <x:c r="H4" s="21"/>
      <x:c r="I4" s="21"/>
      <x:c r="J4" s="21"/>
      <x:c r="K4" s="21"/>
      <x:c r="L4" s="21"/>
      <x:c r="M4" s="21"/>
      <x:c r="N4" s="21"/>
    </x:row>
    <x:row r="5" ht="40.283203125" hidden="0" customHeight="1">
      <x:c r="A5" s="22" t="str">
        <x:v>Input Treatment Totals and Yates Calculations</x:v>
      </x:c>
      <x:c r="B5" s="22" t="str"/>
      <x:c r="C5" s="22" t="str"/>
      <x:c r="D5" s="22" t="str"/>
      <x:c r="E5" s="22" t="str"/>
      <x:c r="F5" s="22" t="str"/>
      <x:c r="G5" s="22" t="str"/>
      <x:c r="H5" s="21"/>
      <x:c r="I5" s="22" t="str">
        <x:v>Effect Totals from Provided Yates Table</x:v>
      </x:c>
      <x:c r="J5" s="22" t="str"/>
      <x:c r="K5" s="22" t="str"/>
      <x:c r="L5" s="21"/>
      <x:c r="M5" s="21"/>
      <x:c r="N5" s="21"/>
    </x:row>
    <x:row r="6" ht="15" hidden="0" customHeight="1">
      <x:c r="A6" s="21"/>
      <x:c r="B6" s="21"/>
      <x:c r="C6" s="21"/>
      <x:c r="D6" s="21"/>
      <x:c r="E6" s="21"/>
      <x:c r="F6" s="21"/>
      <x:c r="G6" s="21"/>
      <x:c r="H6" s="21"/>
      <x:c r="I6" s="21"/>
      <x:c r="J6" s="21"/>
      <x:c r="K6" s="21"/>
      <x:c r="L6" s="21"/>
      <x:c r="M6" s="21"/>
      <x:c r="N6" s="21"/>
    </x:row>
    <x:row r="7" ht="26.85546875" hidden="0" customHeight="1">
      <x:c r="A7" s="22" t="str">
        <x:v>Treatment Combination</x:v>
      </x:c>
      <x:c r="B7" s="22" t="str">
        <x:v>Total Yield</x:v>
      </x:c>
      <x:c r="C7" s="22" t="str">
        <x:v>Yates (1)</x:v>
      </x:c>
      <x:c r="D7" s="22" t="str">
        <x:v>Yates (2)</x:v>
      </x:c>
      <x:c r="E7" s="22" t="str">
        <x:v>Yates (3)</x:v>
      </x:c>
      <x:c r="F7" s="22" t="str">
        <x:v>Effect</x:v>
      </x:c>
      <x:c r="G7" s="22" t="str">
        <x:v>SS / CF</x:v>
      </x:c>
      <x:c r="H7" s="21"/>
      <x:c r="I7" s="22" t="str">
        <x:v>Effect</x:v>
      </x:c>
      <x:c r="J7" s="22" t="str">
        <x:v>Effect Total</x:v>
      </x:c>
      <x:c r="K7" s="22" t="str">
        <x:v>SS = Effect Total^2 / 32</x:v>
      </x:c>
      <x:c r="L7" s="21"/>
      <x:c r="M7" s="21"/>
      <x:c r="N7" s="21"/>
    </x:row>
    <x:row r="8" ht="15" hidden="0" customHeight="1">
      <x:c r="A8" s="21" t="str">
        <x:v>1</x:v>
      </x:c>
      <x:c r="B8" s="23" t="n">
        <x:v>425</x:v>
      </x:c>
      <x:c r="C8" s="23" t="n">
        <x:f>B8+B9</x:f>
        <x:v>851</x:v>
      </x:c>
      <x:c r="D8" s="23" t="n">
        <x:f>C8+C9</x:f>
        <x:v>3172</x:v>
      </x:c>
      <x:c r="E8" s="23" t="n">
        <x:f>D8+D9</x:f>
        <x:v>9294</x:v>
      </x:c>
      <x:c r="F8" s="23" t="str">
        <x:v>G</x:v>
      </x:c>
      <x:c r="G8" s="23" t="n">
        <x:f>POWER(E8,2)/$B$18</x:f>
        <x:v>2699326.125</x:v>
      </x:c>
      <x:c r="H8" s="23"/>
      <x:c r="I8" s="23" t="str">
        <x:v>G</x:v>
      </x:c>
      <x:c r="J8" s="23" t="n">
        <x:v>9324</x:v>
      </x:c>
      <x:c r="K8" s="23" t="n">
        <x:f>POWER(J8,2)/$B$24</x:f>
        <x:v>2716780.5</x:v>
      </x:c>
      <x:c r="L8" s="23"/>
      <x:c r="M8" s="23"/>
      <x:c r="N8" s="23"/>
    </x:row>
    <x:row r="9" ht="15" hidden="0" customHeight="1">
      <x:c r="A9" s="21" t="str">
        <x:v>n</x:v>
      </x:c>
      <x:c r="B9" s="23" t="n">
        <x:v>426</x:v>
      </x:c>
      <x:c r="C9" s="23" t="n">
        <x:f>B10+B11</x:f>
        <x:v>2321</x:v>
      </x:c>
      <x:c r="D9" s="23" t="n">
        <x:f>C10+C11</x:f>
        <x:v>6122</x:v>
      </x:c>
      <x:c r="E9" s="23" t="n">
        <x:f>D10+D11</x:f>
        <x:v>350</x:v>
      </x:c>
      <x:c r="F9" s="23" t="str">
        <x:v>N</x:v>
      </x:c>
      <x:c r="G9" s="23" t="n">
        <x:f>POWER(E9,2)/$B$18</x:f>
        <x:v>3828.125</x:v>
      </x:c>
      <x:c r="H9" s="23"/>
      <x:c r="I9" s="23" t="str">
        <x:v>N</x:v>
      </x:c>
      <x:c r="J9" s="23" t="n">
        <x:v>340</x:v>
      </x:c>
      <x:c r="K9" s="23" t="n">
        <x:f>POWER(J9,2)/$B$24</x:f>
        <x:v>3612.5</x:v>
      </x:c>
      <x:c r="L9" s="23"/>
      <x:c r="M9" s="23"/>
      <x:c r="N9" s="23"/>
    </x:row>
    <x:row r="10" ht="15" hidden="0" customHeight="1">
      <x:c r="A10" s="21" t="str">
        <x:v>k</x:v>
      </x:c>
      <x:c r="B10" s="23" t="n">
        <x:v>1118</x:v>
      </x:c>
      <x:c r="C10" s="23" t="n">
        <x:f>B12+B13</x:f>
        <x:v>2669</x:v>
      </x:c>
      <x:c r="D10" s="23" t="n">
        <x:f>C12+C13</x:f>
        <x:v>86</x:v>
      </x:c>
      <x:c r="E10" s="23" t="n">
        <x:f>D12+D13</x:f>
        <x:v>2254</x:v>
      </x:c>
      <x:c r="F10" s="23" t="str">
        <x:v>K</x:v>
      </x:c>
      <x:c r="G10" s="23" t="n">
        <x:f>POWER(E10,2)/$B$18</x:f>
        <x:v>158766.125</x:v>
      </x:c>
      <x:c r="H10" s="23"/>
      <x:c r="I10" s="23" t="str">
        <x:v>K</x:v>
      </x:c>
      <x:c r="J10" s="23" t="n">
        <x:v>2264</x:v>
      </x:c>
      <x:c r="K10" s="23" t="n">
        <x:f>POWER(J10,2)/$B$24</x:f>
        <x:v>160178</x:v>
      </x:c>
      <x:c r="L10" s="23"/>
      <x:c r="M10" s="23"/>
      <x:c r="N10" s="23"/>
    </x:row>
    <x:row r="11" ht="15" hidden="0" customHeight="1">
      <x:c r="A11" s="21" t="str">
        <x:v>nk</x:v>
      </x:c>
      <x:c r="B11" s="23" t="n">
        <x:v>1203</x:v>
      </x:c>
      <x:c r="C11" s="23" t="n">
        <x:f>B14+B15</x:f>
        <x:v>3453</x:v>
      </x:c>
      <x:c r="D11" s="23" t="n">
        <x:f>C14+C15</x:f>
        <x:v>264</x:v>
      </x:c>
      <x:c r="E11" s="23" t="n">
        <x:f>D14+D15</x:f>
        <x:v>142</x:v>
      </x:c>
      <x:c r="F11" s="23" t="str">
        <x:v>NK</x:v>
      </x:c>
      <x:c r="G11" s="23" t="n">
        <x:f>POWER(E11,2)/$B$18</x:f>
        <x:v>630.125</x:v>
      </x:c>
      <x:c r="H11" s="23"/>
      <x:c r="I11" s="23" t="str">
        <x:v>NK</x:v>
      </x:c>
      <x:c r="J11" s="23" t="n">
        <x:v>112</x:v>
      </x:c>
      <x:c r="K11" s="23" t="n">
        <x:f>POWER(J11,2)/$B$24</x:f>
        <x:v>392</x:v>
      </x:c>
      <x:c r="L11" s="23"/>
      <x:c r="M11" s="23"/>
      <x:c r="N11" s="23"/>
    </x:row>
    <x:row r="12" ht="15" hidden="0" customHeight="1">
      <x:c r="A12" s="21" t="str">
        <x:v>p</x:v>
      </x:c>
      <x:c r="B12" s="23" t="n">
        <x:v>1283</x:v>
      </x:c>
      <x:c r="C12" s="23" t="n">
        <x:f>B9-B8</x:f>
        <x:v>1</x:v>
      </x:c>
      <x:c r="D12" s="23" t="n">
        <x:f>C9-C8</x:f>
        <x:v>1470</x:v>
      </x:c>
      <x:c r="E12" s="23" t="n">
        <x:f>D9-D8</x:f>
        <x:v>2950</x:v>
      </x:c>
      <x:c r="F12" s="23" t="str">
        <x:v>P</x:v>
      </x:c>
      <x:c r="G12" s="23" t="n">
        <x:f>POWER(E12,2)/$B$18</x:f>
        <x:v>271953.125</x:v>
      </x:c>
      <x:c r="H12" s="23"/>
      <x:c r="I12" s="23" t="str">
        <x:v>P</x:v>
      </x:c>
      <x:c r="J12" s="23" t="n">
        <x:v>2980</x:v>
      </x:c>
      <x:c r="K12" s="23" t="n">
        <x:f>POWER(J12,2)/$B$24</x:f>
        <x:v>277512.5</x:v>
      </x:c>
      <x:c r="L12" s="23"/>
      <x:c r="M12" s="23"/>
      <x:c r="N12" s="23"/>
    </x:row>
    <x:row r="13" ht="15" hidden="0" customHeight="1">
      <x:c r="A13" s="21" t="str">
        <x:v>np</x:v>
      </x:c>
      <x:c r="B13" s="23" t="n">
        <x:v>1386</x:v>
      </x:c>
      <x:c r="C13" s="23" t="n">
        <x:f>B11-B10</x:f>
        <x:v>85</x:v>
      </x:c>
      <x:c r="D13" s="23" t="n">
        <x:f>C11-C10</x:f>
        <x:v>784</x:v>
      </x:c>
      <x:c r="E13" s="23" t="n">
        <x:f>D11-D10</x:f>
        <x:v>178</x:v>
      </x:c>
      <x:c r="F13" s="23" t="str">
        <x:v>NP</x:v>
      </x:c>
      <x:c r="G13" s="23" t="n">
        <x:f>POWER(E13,2)/$B$18</x:f>
        <x:v>990.125</x:v>
      </x:c>
      <x:c r="H13" s="23"/>
      <x:c r="I13" s="23" t="str">
        <x:v>NP</x:v>
      </x:c>
      <x:c r="J13" s="23" t="n">
        <x:v>168</x:v>
      </x:c>
      <x:c r="K13" s="23" t="n">
        <x:f>POWER(J13,2)/$B$24</x:f>
        <x:v>882</x:v>
      </x:c>
      <x:c r="L13" s="23"/>
      <x:c r="M13" s="23"/>
      <x:c r="N13" s="23"/>
    </x:row>
    <x:row r="14" ht="15" hidden="0" customHeight="1">
      <x:c r="A14" s="21" t="str">
        <x:v>kp</x:v>
      </x:c>
      <x:c r="B14" s="23" t="n">
        <x:v>1646</x:v>
      </x:c>
      <x:c r="C14" s="23" t="n">
        <x:f>B13-B12</x:f>
        <x:v>103</x:v>
      </x:c>
      <x:c r="D14" s="23" t="n">
        <x:f>C13-C12</x:f>
        <x:v>84</x:v>
      </x:c>
      <x:c r="E14" s="23" t="n">
        <x:f>D13-D12</x:f>
        <x:v>-686</x:v>
      </x:c>
      <x:c r="F14" s="23" t="str">
        <x:v>KP</x:v>
      </x:c>
      <x:c r="G14" s="23" t="n">
        <x:f>POWER(E14,2)/$B$18</x:f>
        <x:v>14706.125</x:v>
      </x:c>
      <x:c r="H14" s="23"/>
      <x:c r="I14" s="23" t="str">
        <x:v>KP</x:v>
      </x:c>
      <x:c r="J14" s="23" t="n">
        <x:v>676</x:v>
      </x:c>
      <x:c r="K14" s="23" t="n">
        <x:f>POWER(J14,2)/$B$24</x:f>
        <x:v>14280.5</x:v>
      </x:c>
      <x:c r="L14" s="23"/>
      <x:c r="M14" s="23"/>
      <x:c r="N14" s="23"/>
    </x:row>
    <x:row r="15" ht="15" hidden="0" customHeight="1">
      <x:c r="A15" s="21" t="str">
        <x:v>nkp</x:v>
      </x:c>
      <x:c r="B15" s="23" t="n">
        <x:v>1807</x:v>
      </x:c>
      <x:c r="C15" s="23" t="n">
        <x:f>B15-B14</x:f>
        <x:v>161</x:v>
      </x:c>
      <x:c r="D15" s="23" t="n">
        <x:f>C15-C14</x:f>
        <x:v>58</x:v>
      </x:c>
      <x:c r="E15" s="23" t="n">
        <x:f>D15-D14</x:f>
        <x:v>-26</x:v>
      </x:c>
      <x:c r="F15" s="23" t="str">
        <x:v>NKP</x:v>
      </x:c>
      <x:c r="G15" s="23" t="n">
        <x:f>POWER(E15,2)/$B$18</x:f>
        <x:v>21.125</x:v>
      </x:c>
      <x:c r="H15" s="23"/>
      <x:c r="I15" s="23" t="str">
        <x:v>NKP</x:v>
      </x:c>
      <x:c r="J15" s="23" t="n">
        <x:v>56</x:v>
      </x:c>
      <x:c r="K15" s="23" t="n">
        <x:f>POWER(J15,2)/$B$24</x:f>
        <x:v>98</x:v>
      </x:c>
      <x:c r="L15" s="23"/>
      <x:c r="M15" s="23"/>
      <x:c r="N15" s="23"/>
    </x:row>
    <x:row r="16" ht="15" hidden="0" customHeight="1">
      <x:c r="A16" s="21"/>
      <x:c r="B16" s="23"/>
      <x:c r="C16" s="23"/>
      <x:c r="D16" s="23"/>
      <x:c r="E16" s="23"/>
      <x:c r="F16" s="23"/>
      <x:c r="G16" s="23"/>
      <x:c r="H16" s="23"/>
      <x:c r="I16" s="23"/>
      <x:c r="J16" s="23"/>
      <x:c r="K16" s="23"/>
      <x:c r="L16" s="23"/>
      <x:c r="M16" s="23"/>
      <x:c r="N16" s="23"/>
    </x:row>
    <x:row r="17" ht="15" hidden="0" customHeight="1">
      <x:c r="A17" s="21"/>
      <x:c r="B17" s="23"/>
      <x:c r="C17" s="23"/>
      <x:c r="D17" s="23"/>
      <x:c r="E17" s="23"/>
      <x:c r="F17" s="23"/>
      <x:c r="G17" s="23"/>
      <x:c r="H17" s="23"/>
      <x:c r="I17" s="23"/>
      <x:c r="J17" s="23"/>
      <x:c r="K17" s="23"/>
      <x:c r="L17" s="23"/>
      <x:c r="M17" s="23"/>
      <x:c r="N17" s="23"/>
    </x:row>
    <x:row r="18" ht="15" hidden="0" customHeight="1">
      <x:c r="A18" s="22" t="str">
        <x:v>Total observations (N)</x:v>
      </x:c>
      <x:c r="B18" s="23" t="n">
        <x:v>32</x:v>
      </x:c>
      <x:c r="C18" s="23"/>
      <x:c r="D18" s="23"/>
      <x:c r="E18" s="23"/>
      <x:c r="F18" s="23"/>
      <x:c r="G18" s="23"/>
      <x:c r="H18" s="23"/>
      <x:c r="I18" s="23"/>
      <x:c r="J18" s="23"/>
      <x:c r="K18" s="23"/>
      <x:c r="L18" s="23"/>
      <x:c r="M18" s="23"/>
      <x:c r="N18" s="23"/>
    </x:row>
    <x:row r="19" ht="15" hidden="0" customHeight="1">
      <x:c r="A19" s="22" t="str">
        <x:v>No. of blocks (r)</x:v>
      </x:c>
      <x:c r="B19" s="23" t="n">
        <x:v>4</x:v>
      </x:c>
      <x:c r="C19" s="23"/>
      <x:c r="D19" s="23"/>
      <x:c r="E19" s="23"/>
      <x:c r="F19" s="23"/>
      <x:c r="G19" s="23"/>
      <x:c r="H19" s="23"/>
      <x:c r="I19" s="23"/>
      <x:c r="J19" s="23"/>
      <x:c r="K19" s="23"/>
      <x:c r="L19" s="23"/>
      <x:c r="M19" s="23"/>
      <x:c r="N19" s="23"/>
    </x:row>
    <x:row r="20" ht="15" hidden="0" customHeight="1">
      <x:c r="A20" s="22" t="str">
        <x:v>No. of treatments (t)</x:v>
      </x:c>
      <x:c r="B20" s="23" t="n">
        <x:v>8</x:v>
      </x:c>
      <x:c r="C20" s="23"/>
      <x:c r="D20" s="23"/>
      <x:c r="E20" s="23"/>
      <x:c r="F20" s="23"/>
      <x:c r="G20" s="23"/>
      <x:c r="H20" s="23"/>
      <x:c r="I20" s="23"/>
      <x:c r="J20" s="23"/>
      <x:c r="K20" s="23"/>
      <x:c r="L20" s="23"/>
      <x:c r="M20" s="23"/>
      <x:c r="N20" s="23"/>
    </x:row>
    <x:row r="21" ht="26.85546875" hidden="0" customHeight="1">
      <x:c r="A21" s="22" t="str">
        <x:v>Total SS from calculation</x:v>
      </x:c>
      <x:c r="B21" s="23" t="n">
        <x:v>465337.5</x:v>
      </x:c>
      <x:c r="C21" s="23"/>
      <x:c r="D21" s="23"/>
      <x:c r="E21" s="23"/>
      <x:c r="F21" s="23"/>
      <x:c r="G21" s="23"/>
      <x:c r="H21" s="23"/>
      <x:c r="I21" s="23"/>
      <x:c r="J21" s="23"/>
      <x:c r="K21" s="23"/>
      <x:c r="L21" s="23"/>
      <x:c r="M21" s="23"/>
      <x:c r="N21" s="23"/>
    </x:row>
    <x:row r="22" ht="26.85546875" hidden="0" customHeight="1">
      <x:c r="A22" s="22" t="str">
        <x:v>Block SS from calculation</x:v>
      </x:c>
      <x:c r="B22" s="23" t="n">
        <x:v>843</x:v>
      </x:c>
      <x:c r="C22" s="23"/>
      <x:c r="D22" s="23"/>
      <x:c r="E22" s="23"/>
      <x:c r="F22" s="23"/>
      <x:c r="G22" s="23"/>
      <x:c r="H22" s="23"/>
      <x:c r="I22" s="23"/>
      <x:c r="J22" s="23"/>
      <x:c r="K22" s="23"/>
      <x:c r="L22" s="23"/>
      <x:c r="M22" s="23"/>
      <x:c r="N22" s="23"/>
    </x:row>
    <x:row r="23" ht="15" hidden="0" customHeight="1">
      <x:c r="A23" s="22" t="str">
        <x:v>Error df</x:v>
      </x:c>
      <x:c r="B23" s="23" t="n">
        <x:f>(B19-1)*(B20-1)</x:f>
        <x:v>21</x:v>
      </x:c>
      <x:c r="C23" s="23"/>
      <x:c r="D23" s="23"/>
      <x:c r="E23" s="23"/>
      <x:c r="F23" s="23"/>
      <x:c r="G23" s="23"/>
      <x:c r="H23" s="23"/>
      <x:c r="I23" s="23"/>
      <x:c r="J23" s="23"/>
      <x:c r="K23" s="23"/>
      <x:c r="L23" s="23"/>
      <x:c r="M23" s="23"/>
      <x:c r="N23" s="23"/>
    </x:row>
    <x:row r="24" ht="15" hidden="0" customHeight="1">
      <x:c r="A24" s="22" t="str">
        <x:v>Yates divisor</x:v>
      </x:c>
      <x:c r="B24" s="23" t="n">
        <x:v>32</x:v>
      </x:c>
      <x:c r="C24" s="23"/>
      <x:c r="D24" s="23"/>
      <x:c r="E24" s="23"/>
      <x:c r="F24" s="23"/>
      <x:c r="G24" s="23"/>
      <x:c r="H24" s="23"/>
      <x:c r="I24" s="23"/>
      <x:c r="J24" s="23"/>
      <x:c r="K24" s="23"/>
      <x:c r="L24" s="23"/>
      <x:c r="M24" s="23"/>
      <x:c r="N24" s="23"/>
    </x:row>
    <x:row r="25" ht="15" hidden="0" customHeight="1">
      <x:c r="A25" s="21"/>
      <x:c r="B25" s="23"/>
      <x:c r="C25" s="23"/>
      <x:c r="D25" s="23"/>
      <x:c r="E25" s="23"/>
      <x:c r="F25" s="23"/>
      <x:c r="G25" s="23"/>
      <x:c r="H25" s="23"/>
      <x:c r="I25" s="23"/>
      <x:c r="J25" s="23"/>
      <x:c r="K25" s="23"/>
      <x:c r="L25" s="23"/>
      <x:c r="M25" s="23"/>
      <x:c r="N25" s="23"/>
    </x:row>
    <x:row r="26" ht="15" hidden="0" customHeight="1">
      <x:c r="A26" s="21"/>
      <x:c r="B26" s="23"/>
      <x:c r="C26" s="23"/>
      <x:c r="D26" s="23"/>
      <x:c r="E26" s="23"/>
      <x:c r="F26" s="23"/>
      <x:c r="G26" s="23"/>
      <x:c r="H26" s="23"/>
      <x:c r="I26" s="23"/>
      <x:c r="J26" s="23"/>
      <x:c r="K26" s="23"/>
      <x:c r="L26" s="23"/>
      <x:c r="M26" s="23"/>
      <x:c r="N26" s="23"/>
    </x:row>
    <x:row r="27" ht="15" hidden="0" customHeight="1">
      <x:c r="A27" s="22" t="str">
        <x:v>ANOVA Table</x:v>
      </x:c>
      <x:c r="B27" s="24" t="str"/>
      <x:c r="C27" s="24" t="str"/>
      <x:c r="D27" s="24" t="str"/>
      <x:c r="E27" s="24" t="str"/>
      <x:c r="F27" s="24" t="str"/>
      <x:c r="G27" s="24" t="str"/>
      <x:c r="H27" s="23"/>
      <x:c r="I27" s="23"/>
      <x:c r="J27" s="23"/>
      <x:c r="K27" s="23"/>
      <x:c r="L27" s="23"/>
      <x:c r="M27" s="23"/>
      <x:c r="N27" s="23"/>
    </x:row>
    <x:row r="28" ht="15" hidden="0" customHeight="1">
      <x:c r="A28" s="22" t="str">
        <x:v>Source of Variation</x:v>
      </x:c>
      <x:c r="B28" s="24" t="str">
        <x:v>df</x:v>
      </x:c>
      <x:c r="C28" s="24" t="str">
        <x:v>SS</x:v>
      </x:c>
      <x:c r="D28" s="24" t="str">
        <x:v>MSS</x:v>
      </x:c>
      <x:c r="E28" s="24" t="str">
        <x:v>F calculated</x:v>
      </x:c>
      <x:c r="F28" s="24" t="str">
        <x:v>F tabulated</x:v>
      </x:c>
      <x:c r="G28" s="24" t="str">
        <x:v>Decision</x:v>
      </x:c>
      <x:c r="H28" s="23"/>
      <x:c r="I28" s="23"/>
      <x:c r="J28" s="23"/>
      <x:c r="K28" s="23"/>
      <x:c r="L28" s="23"/>
      <x:c r="M28" s="23"/>
      <x:c r="N28" s="23"/>
    </x:row>
    <x:row r="29" ht="15" hidden="0" customHeight="1">
      <x:c r="A29" s="21" t="str">
        <x:v>Replicates</x:v>
      </x:c>
      <x:c r="B29" s="23" t="n">
        <x:f>$B$19-1</x:f>
        <x:v>3</x:v>
      </x:c>
      <x:c r="C29" s="23" t="n">
        <x:f>$B$22</x:f>
        <x:v>843</x:v>
      </x:c>
      <x:c r="D29" s="23" t="n">
        <x:f>C29/B29</x:f>
        <x:v>281</x:v>
      </x:c>
      <x:c r="E29" s="23" t="n">
        <x:f>D29/$D$38</x:f>
        <x:v>0.7827298050139275</x:v>
      </x:c>
      <x:c r="F29" s="23" t="str">
        <x:v>3.07</x:v>
      </x:c>
      <x:c r="G29" s="23" t="str">
        <x:f>IF(E29&gt;VALUE(F29),"Significant","Not significant")</x:f>
        <x:v>Not significant</x:v>
      </x:c>
      <x:c r="H29" s="23"/>
      <x:c r="I29" s="23"/>
      <x:c r="J29" s="23"/>
      <x:c r="K29" s="23"/>
      <x:c r="L29" s="23"/>
      <x:c r="M29" s="23"/>
      <x:c r="N29" s="23"/>
    </x:row>
    <x:row r="30" ht="15" hidden="0" customHeight="1">
      <x:c r="A30" s="21" t="str">
        <x:v>Treatments</x:v>
      </x:c>
      <x:c r="B30" s="23" t="n">
        <x:f>$B$20-1</x:f>
        <x:v>7</x:v>
      </x:c>
      <x:c r="C30" s="23" t="n">
        <x:f>SUM(K9:K15)</x:f>
        <x:v>456955.5</x:v>
      </x:c>
      <x:c r="D30" s="23" t="n">
        <x:f>C30/B30</x:f>
        <x:v>65279.357142857145</x:v>
      </x:c>
      <x:c r="E30" s="23" t="n">
        <x:f>D30/$D$38</x:f>
        <x:v>181.8366494230004</x:v>
      </x:c>
      <x:c r="F30" s="23" t="str">
        <x:v>2.49</x:v>
      </x:c>
      <x:c r="G30" s="23" t="str">
        <x:f>IF(E30&gt;VALUE(F30),"Significant","Not significant")</x:f>
        <x:v>Significant</x:v>
      </x:c>
      <x:c r="H30" s="23"/>
      <x:c r="I30" s="23"/>
      <x:c r="J30" s="23"/>
      <x:c r="K30" s="23"/>
      <x:c r="L30" s="23"/>
      <x:c r="M30" s="23"/>
      <x:c r="N30" s="23"/>
    </x:row>
    <x:row r="31" ht="15" hidden="0" customHeight="1">
      <x:c r="A31" s="21" t="str">
        <x:v>N</x:v>
      </x:c>
      <x:c r="B31" s="23" t="n">
        <x:v>1</x:v>
      </x:c>
      <x:c r="C31" s="23" t="n">
        <x:f>K9</x:f>
        <x:v>3612.5</x:v>
      </x:c>
      <x:c r="D31" s="23" t="n">
        <x:f>C31/B31</x:f>
        <x:v>3612.5</x:v>
      </x:c>
      <x:c r="E31" s="23" t="n">
        <x:f>D31/$D$38</x:f>
        <x:v>10.062674094707521</x:v>
      </x:c>
      <x:c r="F31" s="23" t="str">
        <x:v>4.32</x:v>
      </x:c>
      <x:c r="G31" s="23" t="str">
        <x:f>IF(E31&gt;VALUE(F31),"Significant","Not significant")</x:f>
        <x:v>Significant</x:v>
      </x:c>
      <x:c r="H31" s="23"/>
      <x:c r="I31" s="23"/>
      <x:c r="J31" s="23"/>
      <x:c r="K31" s="23"/>
      <x:c r="L31" s="23"/>
      <x:c r="M31" s="23"/>
      <x:c r="N31" s="23"/>
    </x:row>
    <x:row r="32" ht="15" hidden="0" customHeight="1">
      <x:c r="A32" s="21" t="str">
        <x:v>K</x:v>
      </x:c>
      <x:c r="B32" s="23" t="n">
        <x:v>1</x:v>
      </x:c>
      <x:c r="C32" s="23" t="n">
        <x:f>K10</x:f>
        <x:v>160178</x:v>
      </x:c>
      <x:c r="D32" s="23" t="n">
        <x:f>C32/B32</x:f>
        <x:v>160178</x:v>
      </x:c>
      <x:c r="E32" s="23" t="n">
        <x:f>D32/$D$38</x:f>
        <x:v>446.1782729805014</x:v>
      </x:c>
      <x:c r="F32" s="23" t="str">
        <x:v>4.32</x:v>
      </x:c>
      <x:c r="G32" s="23" t="str">
        <x:f>IF(E32&gt;VALUE(F32),"Significant","Not significant")</x:f>
        <x:v>Significant</x:v>
      </x:c>
      <x:c r="H32" s="23"/>
      <x:c r="I32" s="23"/>
      <x:c r="J32" s="23"/>
      <x:c r="K32" s="23"/>
      <x:c r="L32" s="23"/>
      <x:c r="M32" s="23"/>
      <x:c r="N32" s="23"/>
    </x:row>
    <x:row r="33" ht="15" hidden="0" customHeight="1">
      <x:c r="A33" s="21" t="str">
        <x:v>NK</x:v>
      </x:c>
      <x:c r="B33" s="23" t="n">
        <x:v>1</x:v>
      </x:c>
      <x:c r="C33" s="23" t="n">
        <x:f>K11</x:f>
        <x:v>392</x:v>
      </x:c>
      <x:c r="D33" s="23" t="n">
        <x:f>C33/B33</x:f>
        <x:v>392</x:v>
      </x:c>
      <x:c r="E33" s="23" t="n">
        <x:f>D33/$D$38</x:f>
        <x:v>1.0919220055710306</x:v>
      </x:c>
      <x:c r="F33" s="23" t="str">
        <x:v>4.32</x:v>
      </x:c>
      <x:c r="G33" s="23" t="str">
        <x:f>IF(E33&gt;VALUE(F33),"Significant","Not significant")</x:f>
        <x:v>Not significant</x:v>
      </x:c>
      <x:c r="H33" s="23"/>
      <x:c r="I33" s="23"/>
      <x:c r="J33" s="23"/>
      <x:c r="K33" s="23"/>
      <x:c r="L33" s="23"/>
      <x:c r="M33" s="23"/>
      <x:c r="N33" s="23"/>
    </x:row>
    <x:row r="34" ht="15" hidden="0" customHeight="1">
      <x:c r="A34" s="21" t="str">
        <x:v>P</x:v>
      </x:c>
      <x:c r="B34" s="23" t="n">
        <x:v>1</x:v>
      </x:c>
      <x:c r="C34" s="23" t="n">
        <x:f>K12</x:f>
        <x:v>277512.5</x:v>
      </x:c>
      <x:c r="D34" s="23" t="n">
        <x:f>C34/B34</x:f>
        <x:v>277512.5</x:v>
      </x:c>
      <x:c r="E34" s="23" t="n">
        <x:f>D34/$D$38</x:f>
        <x:v>773.0153203342618</x:v>
      </x:c>
      <x:c r="F34" s="23" t="str">
        <x:v>4.32</x:v>
      </x:c>
      <x:c r="G34" s="23" t="str">
        <x:f>IF(E34&gt;VALUE(F34),"Significant","Not significant")</x:f>
        <x:v>Significant</x:v>
      </x:c>
      <x:c r="H34" s="23"/>
      <x:c r="I34" s="23"/>
      <x:c r="J34" s="23"/>
      <x:c r="K34" s="23"/>
      <x:c r="L34" s="23"/>
      <x:c r="M34" s="23"/>
      <x:c r="N34" s="23"/>
    </x:row>
    <x:row r="35" ht="15" hidden="0" customHeight="1">
      <x:c r="A35" s="21" t="str">
        <x:v>NP</x:v>
      </x:c>
      <x:c r="B35" s="23" t="n">
        <x:v>1</x:v>
      </x:c>
      <x:c r="C35" s="23" t="n">
        <x:f>K13</x:f>
        <x:v>882</x:v>
      </x:c>
      <x:c r="D35" s="23" t="n">
        <x:f>C35/B35</x:f>
        <x:v>882</x:v>
      </x:c>
      <x:c r="E35" s="23" t="n">
        <x:f>D35/$D$38</x:f>
        <x:v>2.456824512534819</x:v>
      </x:c>
      <x:c r="F35" s="23" t="str">
        <x:v>4.32</x:v>
      </x:c>
      <x:c r="G35" s="23" t="str">
        <x:f>IF(E35&gt;VALUE(F35),"Significant","Not significant")</x:f>
        <x:v>Not significant</x:v>
      </x:c>
      <x:c r="H35" s="23"/>
      <x:c r="I35" s="23"/>
      <x:c r="J35" s="23"/>
      <x:c r="K35" s="23"/>
      <x:c r="L35" s="23"/>
      <x:c r="M35" s="23"/>
      <x:c r="N35" s="23"/>
    </x:row>
    <x:row r="36" ht="15" hidden="0" customHeight="1">
      <x:c r="A36" s="21" t="str">
        <x:v>KP</x:v>
      </x:c>
      <x:c r="B36" s="23" t="n">
        <x:v>1</x:v>
      </x:c>
      <x:c r="C36" s="23" t="n">
        <x:f>K14</x:f>
        <x:v>14280.5</x:v>
      </x:c>
      <x:c r="D36" s="23" t="n">
        <x:f>C36/B36</x:f>
        <x:v>14280.5</x:v>
      </x:c>
      <x:c r="E36" s="23" t="n">
        <x:f>D36/$D$38</x:f>
        <x:v>39.778551532033426</x:v>
      </x:c>
      <x:c r="F36" s="23" t="str">
        <x:v>4.32</x:v>
      </x:c>
      <x:c r="G36" s="23" t="str">
        <x:f>IF(E36&gt;VALUE(F36),"Significant","Not significant")</x:f>
        <x:v>Significant</x:v>
      </x:c>
      <x:c r="H36" s="23"/>
      <x:c r="I36" s="23"/>
      <x:c r="J36" s="23"/>
      <x:c r="K36" s="23"/>
      <x:c r="L36" s="23"/>
      <x:c r="M36" s="23"/>
      <x:c r="N36" s="23"/>
    </x:row>
    <x:row r="37" ht="15" hidden="0" customHeight="1">
      <x:c r="A37" s="21" t="str">
        <x:v>NKP</x:v>
      </x:c>
      <x:c r="B37" s="23" t="n">
        <x:v>1</x:v>
      </x:c>
      <x:c r="C37" s="23" t="n">
        <x:f>K15</x:f>
        <x:v>98</x:v>
      </x:c>
      <x:c r="D37" s="23" t="n">
        <x:f>C37/B37</x:f>
        <x:v>98</x:v>
      </x:c>
      <x:c r="E37" s="23" t="n">
        <x:f>D37/$D$38</x:f>
        <x:v>0.27298050139275765</x:v>
      </x:c>
      <x:c r="F37" s="23" t="str">
        <x:v>4.32</x:v>
      </x:c>
      <x:c r="G37" s="23" t="str">
        <x:f>IF(E37&gt;VALUE(F37),"Significant","Not significant")</x:f>
        <x:v>Not significant</x:v>
      </x:c>
      <x:c r="H37" s="23"/>
      <x:c r="I37" s="23"/>
      <x:c r="J37" s="23"/>
      <x:c r="K37" s="23"/>
      <x:c r="L37" s="23"/>
      <x:c r="M37" s="23"/>
      <x:c r="N37" s="23"/>
    </x:row>
    <x:row r="38" ht="15" hidden="0" customHeight="1">
      <x:c r="A38" s="21" t="str">
        <x:v>Error</x:v>
      </x:c>
      <x:c r="B38" s="23" t="n">
        <x:f>$B$23</x:f>
        <x:v>21</x:v>
      </x:c>
      <x:c r="C38" s="23" t="n">
        <x:f>$B$21-C29-C30</x:f>
        <x:v>7539</x:v>
      </x:c>
      <x:c r="D38" s="23" t="n">
        <x:f>C38/B38</x:f>
        <x:v>359</x:v>
      </x:c>
      <x:c r="E38" s="23" t="str"/>
      <x:c r="F38" s="23" t="str"/>
      <x:c r="G38" s="23" t="str"/>
      <x:c r="H38" s="23"/>
      <x:c r="I38" s="23"/>
      <x:c r="J38" s="23"/>
      <x:c r="K38" s="23"/>
      <x:c r="L38" s="23"/>
      <x:c r="M38" s="23"/>
      <x:c r="N38" s="23"/>
    </x:row>
    <x:row r="39" ht="15" hidden="0" customHeight="1">
      <x:c r="A39" s="21" t="str">
        <x:v>Total</x:v>
      </x:c>
      <x:c r="B39" s="23" t="n">
        <x:f>$B$18-1</x:f>
        <x:v>31</x:v>
      </x:c>
      <x:c r="C39" s="23" t="n">
        <x:f>$B$21</x:f>
        <x:v>465337.5</x:v>
      </x:c>
      <x:c r="D39" s="23" t="str"/>
      <x:c r="E39" s="23" t="str"/>
      <x:c r="F39" s="23" t="str"/>
      <x:c r="G39" s="23" t="str"/>
      <x:c r="H39" s="23"/>
      <x:c r="I39" s="23"/>
      <x:c r="J39" s="23"/>
      <x:c r="K39" s="23"/>
      <x:c r="L39" s="23"/>
      <x:c r="M39" s="23"/>
      <x:c r="N39" s="23"/>
    </x:row>
    <x:row r="40" ht="15" hidden="0" customHeight="1">
      <x:c r="A40" s="21"/>
      <x:c r="B40" s="23"/>
      <x:c r="C40" s="23"/>
      <x:c r="D40" s="23"/>
      <x:c r="E40" s="23"/>
      <x:c r="F40" s="23"/>
      <x:c r="G40" s="23"/>
      <x:c r="H40" s="23"/>
      <x:c r="I40" s="23"/>
      <x:c r="J40" s="23"/>
      <x:c r="K40" s="23"/>
      <x:c r="L40" s="23"/>
      <x:c r="M40" s="23"/>
      <x:c r="N40" s="23"/>
    </x:row>
    <x:row r="41" ht="15" hidden="0" customHeight="1">
      <x:c r="A41" s="21"/>
      <x:c r="B41" s="23"/>
      <x:c r="C41" s="23"/>
      <x:c r="D41" s="23"/>
      <x:c r="E41" s="23"/>
      <x:c r="F41" s="23"/>
      <x:c r="G41" s="23"/>
      <x:c r="H41" s="23"/>
      <x:c r="I41" s="23"/>
      <x:c r="J41" s="23"/>
      <x:c r="K41" s="23"/>
      <x:c r="L41" s="23"/>
      <x:c r="M41" s="23"/>
      <x:c r="N41" s="23"/>
    </x:row>
    <x:row r="42" ht="22" hidden="0" customHeight="1">
      <x:c r="A42" s="22" t="str">
        <x:v>Section 2: Written Practical Content</x:v>
      </x:c>
      <x:c r="B42" s="24" t="str"/>
      <x:c r="C42" s="24"/>
      <x:c r="D42" s="24"/>
      <x:c r="E42" s="24"/>
      <x:c r="F42" s="24"/>
      <x:c r="G42" s="24"/>
      <x:c r="H42" s="24"/>
      <x:c r="I42" s="24"/>
      <x:c r="J42" s="24"/>
      <x:c r="K42" s="24"/>
      <x:c r="L42" s="23"/>
      <x:c r="M42" s="23"/>
      <x:c r="N42" s="23"/>
    </x:row>
    <x:row r="43" ht="35" hidden="0" customHeight="1">
      <x:c r="A43" s="22" t="str">
        <x:v>Aim</x:v>
      </x:c>
      <x:c r="B43" s="23" t="str">
        <x:v>To perform 2^3 factorial design analysis in Randomized Block Design (RBD) using Yates method.</x:v>
      </x:c>
      <x:c r="C43" s="23"/>
      <x:c r="D43" s="23"/>
      <x:c r="E43" s="23"/>
      <x:c r="F43" s="23"/>
      <x:c r="G43" s="23"/>
      <x:c r="H43" s="23"/>
      <x:c r="I43" s="23"/>
      <x:c r="J43" s="23"/>
      <x:c r="K43" s="23"/>
      <x:c r="L43" s="23"/>
      <x:c r="M43" s="23"/>
      <x:c r="N43" s="23"/>
    </x:row>
    <x:row r="44" ht="55" hidden="0" customHeight="1">
      <x:c r="A44" s="22" t="str">
        <x:v>Experiment</x:v>
      </x:c>
      <x:c r="B44" s="23" t="str">
        <x:v>The experiment studies the effect of three fertilizer factors Nitrogen (N), Potassium (K) and Phosphate (P) on potato crop yield. The design has 2^3 = 8 treatment combinations and is laid out in 4 blocks/replicates.</x:v>
      </x:c>
      <x:c r="C44" s="23"/>
      <x:c r="D44" s="23"/>
      <x:c r="E44" s="23"/>
      <x:c r="F44" s="23"/>
      <x:c r="G44" s="23"/>
      <x:c r="H44" s="23"/>
      <x:c r="I44" s="23"/>
      <x:c r="J44" s="23"/>
      <x:c r="K44" s="23"/>
      <x:c r="L44" s="23"/>
      <x:c r="M44" s="23"/>
      <x:c r="N44" s="23"/>
    </x:row>
    <x:row r="45" ht="70" hidden="0" customHeight="1">
      <x:c r="A45" s="22" t="str">
        <x:v>Theory &amp; Formula</x:v>
      </x:c>
      <x:c r="B45" s="23" t="str">
        <x:v>A 2^3 factorial design studies three factors at two levels. Main effects are N, K and P. Interaction effects are NK, NP, KP and NKP. Yates method is used to obtain factorial effect totals systematically. Sum of squares for each effect is calculated as: SS = (Effect Total)^2 / (number of observations).</x:v>
      </x:c>
      <x:c r="C45" s="23"/>
      <x:c r="D45" s="23"/>
      <x:c r="E45" s="23"/>
      <x:c r="F45" s="23"/>
      <x:c r="G45" s="23"/>
      <x:c r="H45" s="23"/>
      <x:c r="I45" s="23"/>
      <x:c r="J45" s="23"/>
      <x:c r="K45" s="23"/>
      <x:c r="L45" s="23"/>
      <x:c r="M45" s="23"/>
      <x:c r="N45" s="23"/>
    </x:row>
    <x:row r="46" ht="70" hidden="0" customHeight="1">
      <x:c r="A46" s="22" t="str">
        <x:v>Calculation Steps</x:v>
      </x:c>
      <x:c r="B46" s="23" t="str">
        <x:v>Enter treatment totals in column B. Use Yates additions and differences in columns C to E. Enter/check effect totals from the provided Yates table in column J. Calculate SS using =POWER(effect total,2)/32. Prepare ANOVA by calculating df, MSS = SS/df and F = MSS/MSE.</x:v>
      </x:c>
      <x:c r="C46" s="23"/>
      <x:c r="D46" s="23"/>
      <x:c r="E46" s="23"/>
      <x:c r="F46" s="23"/>
      <x:c r="G46" s="23"/>
      <x:c r="H46" s="23"/>
      <x:c r="I46" s="23"/>
      <x:c r="J46" s="23"/>
      <x:c r="K46" s="23"/>
      <x:c r="L46" s="23"/>
      <x:c r="M46" s="23"/>
      <x:c r="N46" s="23"/>
    </x:row>
    <x:row r="47" ht="35" hidden="0" customHeight="1">
      <x:c r="A47" s="22" t="str">
        <x:v>Result</x:v>
      </x:c>
      <x:c r="B47" s="23" t="str">
        <x:v>The ANOVA table and individual effect tests are shown above. Compare each calculated F value with its tabulated F value.</x:v>
      </x:c>
      <x:c r="C47" s="23"/>
      <x:c r="D47" s="23"/>
      <x:c r="E47" s="23"/>
      <x:c r="F47" s="23"/>
      <x:c r="G47" s="23"/>
      <x:c r="H47" s="23"/>
      <x:c r="I47" s="23"/>
      <x:c r="J47" s="23"/>
      <x:c r="K47" s="23"/>
      <x:c r="L47" s="23"/>
      <x:c r="M47" s="23"/>
      <x:c r="N47" s="23"/>
    </x:row>
    <x:row r="48" ht="45" hidden="0" customHeight="1">
      <x:c r="A48" s="22" t="str">
        <x:v>Conclusion</x:v>
      </x:c>
      <x:c r="B48" s="23" t="str">
        <x:v>Effects with F calculated greater than F tabulated are considered significant. From the provided calculation, the major fertilizer effects are tested separately using the ANOVA table.</x:v>
      </x:c>
      <x:c r="C48" s="23"/>
      <x:c r="D48" s="23"/>
      <x:c r="E48" s="23"/>
      <x:c r="F48" s="23"/>
      <x:c r="G48" s="23"/>
      <x:c r="H48" s="23"/>
      <x:c r="I48" s="23"/>
      <x:c r="J48" s="23"/>
      <x:c r="K48" s="23"/>
      <x:c r="L48" s="23"/>
      <x:c r="M48" s="23"/>
      <x:c r="N48" s="23"/>
    </x:row>
    <x:row r="49" ht="15" hidden="0" customHeight="1">
      <x:c r="A49" s="22"/>
      <x:c r="B49" s="23"/>
      <x:c r="C49" s="23"/>
      <x:c r="D49" s="23"/>
      <x:c r="E49" s="23"/>
      <x:c r="F49" s="23"/>
      <x:c r="G49" s="23"/>
      <x:c r="H49" s="23"/>
      <x:c r="I49" s="23"/>
      <x:c r="J49" s="23"/>
      <x:c r="K49" s="23"/>
      <x:c r="L49" s="23"/>
      <x:c r="M49" s="23"/>
      <x:c r="N49" s="23"/>
    </x:row>
    <x:row r="50" ht="15" hidden="0" customHeight="1">
      <x:c r="A50" s="22"/>
      <x:c r="B50" s="23"/>
      <x:c r="C50" s="23"/>
      <x:c r="D50" s="23"/>
      <x:c r="E50" s="23"/>
      <x:c r="F50" s="23"/>
      <x:c r="G50" s="23"/>
      <x:c r="H50" s="23"/>
      <x:c r="I50" s="23"/>
      <x:c r="J50" s="23"/>
      <x:c r="K50" s="23"/>
      <x:c r="L50" s="23"/>
      <x:c r="M50" s="23"/>
      <x:c r="N50" s="23"/>
    </x:row>
    <x:row r="51" ht="15" hidden="0" customHeight="1">
      <x:c r="A51" s="22"/>
      <x:c r="B51" s="23"/>
      <x:c r="C51" s="23"/>
      <x:c r="D51" s="23"/>
      <x:c r="E51" s="23"/>
      <x:c r="F51" s="23"/>
      <x:c r="G51" s="23"/>
      <x:c r="H51" s="23"/>
      <x:c r="I51" s="23"/>
      <x:c r="J51" s="23"/>
      <x:c r="K51" s="23"/>
      <x:c r="L51" s="23"/>
      <x:c r="M51" s="23"/>
      <x:c r="N51" s="23"/>
    </x:row>
    <x:row r="52" ht="15" hidden="0" customHeight="1">
      <x:c r="A52" s="22"/>
      <x:c r="B52" s="23"/>
      <x:c r="C52" s="23"/>
      <x:c r="D52" s="23"/>
      <x:c r="E52" s="23"/>
      <x:c r="F52" s="23"/>
      <x:c r="G52" s="23"/>
      <x:c r="H52" s="23"/>
      <x:c r="I52" s="23"/>
      <x:c r="J52" s="23"/>
      <x:c r="K52" s="23"/>
      <x:c r="L52" s="23"/>
      <x:c r="M52" s="23"/>
      <x:c r="N52" s="23"/>
    </x:row>
    <x:row r="53" ht="15" hidden="0" customHeight="1">
      <x:c r="A53" s="22"/>
      <x:c r="B53" s="23"/>
      <x:c r="C53" s="23"/>
      <x:c r="D53" s="23"/>
      <x:c r="E53" s="23"/>
      <x:c r="F53" s="23"/>
      <x:c r="G53" s="23"/>
      <x:c r="H53" s="23"/>
      <x:c r="I53" s="23"/>
      <x:c r="J53" s="23"/>
      <x:c r="K53" s="23"/>
      <x:c r="L53" s="23"/>
      <x:c r="M53" s="23"/>
      <x:c r="N53" s="23"/>
    </x:row>
    <x:row r="54" ht="15" hidden="0" customHeight="1">
      <x:c r="A54" s="22"/>
      <x:c r="B54" s="23"/>
      <x:c r="C54" s="23"/>
      <x:c r="D54" s="23"/>
      <x:c r="E54" s="23"/>
      <x:c r="F54" s="23"/>
      <x:c r="G54" s="23"/>
      <x:c r="H54" s="23"/>
      <x:c r="I54" s="23"/>
      <x:c r="J54" s="23"/>
      <x:c r="K54" s="23"/>
      <x:c r="L54" s="23"/>
      <x:c r="M54" s="23"/>
      <x:c r="N54" s="23"/>
    </x:row>
    <x:row r="55" ht="15" hidden="0" customHeight="1">
      <x:c r="A55" s="22"/>
      <x:c r="B55" s="23"/>
      <x:c r="C55" s="23"/>
      <x:c r="D55" s="23"/>
      <x:c r="E55" s="23"/>
      <x:c r="F55" s="23"/>
      <x:c r="G55" s="23"/>
      <x:c r="H55" s="23"/>
      <x:c r="I55" s="23"/>
      <x:c r="J55" s="23"/>
      <x:c r="K55" s="23"/>
      <x:c r="L55" s="23"/>
      <x:c r="M55" s="23"/>
      <x:c r="N55" s="23"/>
    </x:row>
    <x:row r="56" ht="15" hidden="0" customHeight="1">
      <x:c r="A56" s="22"/>
      <x:c r="B56" s="23"/>
      <x:c r="C56" s="23"/>
      <x:c r="D56" s="23"/>
      <x:c r="E56" s="23"/>
      <x:c r="F56" s="23"/>
      <x:c r="G56" s="23"/>
      <x:c r="H56" s="23"/>
      <x:c r="I56" s="23"/>
      <x:c r="J56" s="23"/>
      <x:c r="K56" s="23"/>
      <x:c r="L56" s="23"/>
      <x:c r="M56" s="23"/>
      <x:c r="N56" s="23"/>
    </x:row>
    <x:row r="57" ht="15" hidden="0" customHeight="1">
      <x:c r="A57" s="22"/>
      <x:c r="B57" s="23"/>
      <x:c r="C57" s="23"/>
      <x:c r="D57" s="23"/>
      <x:c r="E57" s="23"/>
      <x:c r="F57" s="23"/>
      <x:c r="G57" s="23"/>
      <x:c r="H57" s="23"/>
      <x:c r="I57" s="23"/>
      <x:c r="J57" s="23"/>
      <x:c r="K57" s="23"/>
      <x:c r="L57" s="23"/>
      <x:c r="M57" s="23"/>
      <x:c r="N57" s="23"/>
    </x:row>
    <x:row r="58" ht="15" hidden="0" customHeight="1">
      <x:c r="A58" s="22"/>
      <x:c r="B58" s="23"/>
      <x:c r="C58" s="23"/>
      <x:c r="D58" s="23"/>
      <x:c r="E58" s="23"/>
      <x:c r="F58" s="23"/>
      <x:c r="G58" s="23"/>
      <x:c r="H58" s="23"/>
      <x:c r="I58" s="23"/>
      <x:c r="J58" s="23"/>
      <x:c r="K58" s="23"/>
      <x:c r="L58" s="23"/>
      <x:c r="M58" s="23"/>
      <x:c r="N58" s="23"/>
    </x:row>
    <x:row r="59" ht="15" hidden="0" customHeight="1">
      <x:c r="A59" s="22"/>
      <x:c r="B59" s="23"/>
      <x:c r="C59" s="23"/>
      <x:c r="D59" s="23"/>
      <x:c r="E59" s="23"/>
      <x:c r="F59" s="23"/>
      <x:c r="G59" s="23"/>
      <x:c r="H59" s="23"/>
      <x:c r="I59" s="23"/>
      <x:c r="J59" s="23"/>
      <x:c r="K59" s="23"/>
      <x:c r="L59" s="23"/>
      <x:c r="M59" s="23"/>
      <x:c r="N59" s="23"/>
    </x:row>
    <x:row r="60" ht="15" hidden="0" customHeight="1">
      <x:c r="A60" s="22"/>
      <x:c r="B60" s="23"/>
      <x:c r="C60" s="23"/>
      <x:c r="D60" s="23"/>
      <x:c r="E60" s="23"/>
      <x:c r="F60" s="23"/>
      <x:c r="G60" s="23"/>
      <x:c r="H60" s="23"/>
      <x:c r="I60" s="23"/>
      <x:c r="J60" s="23"/>
      <x:c r="K60" s="23"/>
      <x:c r="L60" s="23"/>
      <x:c r="M60" s="23"/>
      <x:c r="N60" s="23"/>
    </x:row>
    <x:row r="61" ht="15" hidden="0" customHeight="1">
      <x:c r="A61" s="21"/>
      <x:c r="B61" s="23"/>
      <x:c r="C61" s="23"/>
      <x:c r="D61" s="23"/>
      <x:c r="E61" s="23"/>
      <x:c r="F61" s="23"/>
      <x:c r="G61" s="23"/>
      <x:c r="H61" s="23"/>
      <x:c r="I61" s="23"/>
      <x:c r="J61" s="23"/>
      <x:c r="K61" s="23"/>
      <x:c r="L61" s="23"/>
      <x:c r="M61" s="23"/>
      <x:c r="N61" s="23"/>
    </x:row>
    <x:row r="62" ht="15" hidden="0" customHeight="1">
      <x:c r="A62" s="21"/>
      <x:c r="B62" s="23"/>
      <x:c r="C62" s="23"/>
      <x:c r="D62" s="23"/>
      <x:c r="E62" s="23"/>
      <x:c r="F62" s="23"/>
      <x:c r="G62" s="23"/>
      <x:c r="H62" s="23"/>
      <x:c r="I62" s="23"/>
      <x:c r="J62" s="23"/>
      <x:c r="K62" s="23"/>
      <x:c r="L62" s="23"/>
      <x:c r="M62" s="23"/>
      <x:c r="N62" s="23"/>
    </x:row>
    <x:row r="63" ht="15" hidden="0" customHeight="1">
      <x:c r="A63" s="21"/>
      <x:c r="B63" s="23"/>
      <x:c r="C63" s="23"/>
      <x:c r="D63" s="23"/>
      <x:c r="E63" s="23"/>
      <x:c r="F63" s="23"/>
      <x:c r="G63" s="23"/>
      <x:c r="H63" s="23"/>
      <x:c r="I63" s="23"/>
      <x:c r="J63" s="23"/>
      <x:c r="K63" s="23"/>
      <x:c r="L63" s="23"/>
      <x:c r="M63" s="23"/>
      <x:c r="N63" s="23"/>
    </x:row>
    <x:row r="64" ht="15" hidden="0" customHeight="1">
      <x:c r="A64" s="21"/>
      <x:c r="B64" s="23"/>
      <x:c r="C64" s="23"/>
      <x:c r="D64" s="23"/>
      <x:c r="E64" s="23"/>
      <x:c r="F64" s="23"/>
      <x:c r="G64" s="23"/>
      <x:c r="H64" s="23"/>
      <x:c r="I64" s="23"/>
      <x:c r="J64" s="23"/>
      <x:c r="K64" s="23"/>
      <x:c r="L64" s="23"/>
      <x:c r="M64" s="23"/>
      <x:c r="N64" s="23"/>
    </x:row>
    <x:row r="65" ht="15" hidden="0" customHeight="1">
      <x:c r="A65" s="21"/>
      <x:c r="B65" s="23"/>
      <x:c r="C65" s="23"/>
      <x:c r="D65" s="23"/>
      <x:c r="E65" s="23"/>
      <x:c r="F65" s="23"/>
      <x:c r="G65" s="23"/>
      <x:c r="H65" s="23"/>
      <x:c r="I65" s="23"/>
      <x:c r="J65" s="23"/>
      <x:c r="K65" s="23"/>
      <x:c r="L65" s="23"/>
      <x:c r="M65" s="23"/>
      <x:c r="N65" s="23"/>
    </x:row>
    <x:row r="66" ht="15" hidden="0" customHeight="1">
      <x:c r="A66" s="21"/>
      <x:c r="B66" s="23"/>
      <x:c r="C66" s="23"/>
      <x:c r="D66" s="23"/>
      <x:c r="E66" s="23"/>
      <x:c r="F66" s="23"/>
      <x:c r="G66" s="23"/>
      <x:c r="H66" s="23"/>
      <x:c r="I66" s="23"/>
      <x:c r="J66" s="23"/>
      <x:c r="K66" s="23"/>
      <x:c r="L66" s="23"/>
      <x:c r="M66" s="23"/>
      <x:c r="N66" s="23"/>
    </x:row>
    <x:row r="67" ht="15" hidden="0" customHeight="1">
      <x:c r="A67" s="21"/>
      <x:c r="B67" s="23"/>
      <x:c r="C67" s="23"/>
      <x:c r="D67" s="23"/>
      <x:c r="E67" s="23"/>
      <x:c r="F67" s="23"/>
      <x:c r="G67" s="23"/>
      <x:c r="H67" s="23"/>
      <x:c r="I67" s="23"/>
      <x:c r="J67" s="23"/>
      <x:c r="K67" s="23"/>
      <x:c r="L67" s="23"/>
      <x:c r="M67" s="23"/>
      <x:c r="N67" s="23"/>
    </x:row>
    <x:row r="68" ht="15" hidden="0" customHeight="1">
      <x:c r="A68" s="21"/>
      <x:c r="B68" s="23"/>
      <x:c r="C68" s="23"/>
      <x:c r="D68" s="23"/>
      <x:c r="E68" s="23"/>
      <x:c r="F68" s="23"/>
      <x:c r="G68" s="23"/>
      <x:c r="H68" s="23"/>
      <x:c r="I68" s="23"/>
      <x:c r="J68" s="23"/>
      <x:c r="K68" s="23"/>
      <x:c r="L68" s="23"/>
      <x:c r="M68" s="23"/>
      <x:c r="N68" s="23"/>
    </x:row>
    <x:row r="69" ht="15" hidden="0" customHeight="1">
      <x:c r="A69" s="21"/>
      <x:c r="B69" s="23"/>
      <x:c r="C69" s="23"/>
      <x:c r="D69" s="23"/>
      <x:c r="E69" s="23"/>
      <x:c r="F69" s="23"/>
      <x:c r="G69" s="23"/>
      <x:c r="H69" s="23"/>
      <x:c r="I69" s="23"/>
      <x:c r="J69" s="23"/>
      <x:c r="K69" s="23"/>
      <x:c r="L69" s="23"/>
      <x:c r="M69" s="23"/>
      <x:c r="N69" s="23"/>
    </x:row>
    <x:row r="70" ht="15" hidden="0" customHeight="1">
      <x:c r="A70" s="21"/>
      <x:c r="B70" s="23"/>
      <x:c r="C70" s="23"/>
      <x:c r="D70" s="23"/>
      <x:c r="E70" s="23"/>
      <x:c r="F70" s="23"/>
      <x:c r="G70" s="23"/>
      <x:c r="H70" s="23"/>
      <x:c r="I70" s="23"/>
      <x:c r="J70" s="23"/>
      <x:c r="K70" s="23"/>
      <x:c r="L70" s="23"/>
      <x:c r="M70" s="23"/>
      <x:c r="N70" s="23"/>
    </x:row>
    <x:row r="71" ht="15" hidden="0" customHeight="1">
      <x:c r="A71" s="21"/>
      <x:c r="B71" s="23"/>
      <x:c r="C71" s="23"/>
      <x:c r="D71" s="23"/>
      <x:c r="E71" s="23"/>
      <x:c r="F71" s="23"/>
      <x:c r="G71" s="23"/>
      <x:c r="H71" s="23"/>
      <x:c r="I71" s="23"/>
      <x:c r="J71" s="23"/>
      <x:c r="K71" s="23"/>
      <x:c r="L71" s="23"/>
      <x:c r="M71" s="23"/>
      <x:c r="N71" s="23"/>
    </x:row>
    <x:row r="72" ht="15" hidden="0" customHeight="1">
      <x:c r="A72" s="21"/>
      <x:c r="B72" s="23"/>
      <x:c r="C72" s="23"/>
      <x:c r="D72" s="23"/>
      <x:c r="E72" s="23"/>
      <x:c r="F72" s="23"/>
      <x:c r="G72" s="23"/>
      <x:c r="H72" s="23"/>
      <x:c r="I72" s="23"/>
      <x:c r="J72" s="23"/>
      <x:c r="K72" s="23"/>
      <x:c r="L72" s="23"/>
      <x:c r="M72" s="23"/>
      <x:c r="N72" s="23"/>
    </x:row>
    <x:row r="73" ht="15" hidden="0" customHeight="1">
      <x:c r="A73" s="21"/>
      <x:c r="B73" s="23"/>
      <x:c r="C73" s="23"/>
      <x:c r="D73" s="23"/>
      <x:c r="E73" s="23"/>
      <x:c r="F73" s="23"/>
      <x:c r="G73" s="23"/>
      <x:c r="H73" s="23"/>
      <x:c r="I73" s="23"/>
      <x:c r="J73" s="23"/>
      <x:c r="K73" s="23"/>
      <x:c r="L73" s="23"/>
      <x:c r="M73" s="23"/>
      <x:c r="N73" s="23"/>
    </x:row>
    <x:row r="74" ht="15" hidden="0" customHeight="1">
      <x:c r="A74" s="21"/>
      <x:c r="B74" s="23"/>
      <x:c r="C74" s="23"/>
      <x:c r="D74" s="23"/>
      <x:c r="E74" s="23"/>
      <x:c r="F74" s="23"/>
      <x:c r="G74" s="23"/>
      <x:c r="H74" s="23"/>
      <x:c r="I74" s="23"/>
      <x:c r="J74" s="23"/>
      <x:c r="K74" s="23"/>
      <x:c r="L74" s="23"/>
      <x:c r="M74" s="23"/>
      <x:c r="N74" s="23"/>
    </x:row>
    <x:row r="75" ht="15" hidden="0" customHeight="1">
      <x:c r="A75" s="21"/>
      <x:c r="B75" s="23"/>
      <x:c r="C75" s="23"/>
      <x:c r="D75" s="23"/>
      <x:c r="E75" s="23"/>
      <x:c r="F75" s="23"/>
      <x:c r="G75" s="23"/>
      <x:c r="H75" s="23"/>
      <x:c r="I75" s="23"/>
      <x:c r="J75" s="23"/>
      <x:c r="K75" s="23"/>
      <x:c r="L75" s="23"/>
      <x:c r="M75" s="23"/>
      <x:c r="N75" s="23"/>
    </x:row>
    <x:row r="76" ht="15" hidden="0" customHeight="1">
      <x:c r="A76" s="21"/>
      <x:c r="B76" s="23"/>
      <x:c r="C76" s="23"/>
      <x:c r="D76" s="23"/>
      <x:c r="E76" s="23"/>
      <x:c r="F76" s="23"/>
      <x:c r="G76" s="23"/>
      <x:c r="H76" s="23"/>
      <x:c r="I76" s="23"/>
      <x:c r="J76" s="23"/>
      <x:c r="K76" s="23"/>
      <x:c r="L76" s="23"/>
      <x:c r="M76" s="23"/>
      <x:c r="N76" s="23"/>
    </x:row>
    <x:row r="77" ht="15" hidden="0" customHeight="1">
      <x:c r="A77" s="21"/>
      <x:c r="B77" s="23"/>
      <x:c r="C77" s="23"/>
      <x:c r="D77" s="23"/>
      <x:c r="E77" s="23"/>
      <x:c r="F77" s="23"/>
      <x:c r="G77" s="23"/>
      <x:c r="H77" s="23"/>
      <x:c r="I77" s="23"/>
      <x:c r="J77" s="23"/>
      <x:c r="K77" s="23"/>
      <x:c r="L77" s="23"/>
      <x:c r="M77" s="23"/>
      <x:c r="N77" s="23"/>
    </x:row>
    <x:row r="78" ht="15" hidden="0" customHeight="1">
      <x:c r="A78" s="21"/>
      <x:c r="B78" s="23"/>
      <x:c r="C78" s="23"/>
      <x:c r="D78" s="23"/>
      <x:c r="E78" s="23"/>
      <x:c r="F78" s="23"/>
      <x:c r="G78" s="23"/>
      <x:c r="H78" s="23"/>
      <x:c r="I78" s="23"/>
      <x:c r="J78" s="23"/>
      <x:c r="K78" s="23"/>
      <x:c r="L78" s="23"/>
      <x:c r="M78" s="23"/>
      <x:c r="N78" s="23"/>
    </x:row>
    <x:row r="79" ht="15" hidden="0" customHeight="1">
      <x:c r="A79" s="21"/>
      <x:c r="B79" s="23"/>
      <x:c r="C79" s="23"/>
      <x:c r="D79" s="23"/>
      <x:c r="E79" s="23"/>
      <x:c r="F79" s="23"/>
      <x:c r="G79" s="23"/>
      <x:c r="H79" s="23"/>
      <x:c r="I79" s="23"/>
      <x:c r="J79" s="23"/>
      <x:c r="K79" s="23"/>
      <x:c r="L79" s="23"/>
      <x:c r="M79" s="23"/>
      <x:c r="N79" s="23"/>
    </x:row>
    <x:row r="80" ht="15" hidden="0" customHeight="1">
      <x:c r="A80" s="21"/>
      <x:c r="B80" s="23"/>
      <x:c r="C80" s="23"/>
      <x:c r="D80" s="23"/>
      <x:c r="E80" s="23"/>
      <x:c r="F80" s="23"/>
      <x:c r="G80" s="23"/>
      <x:c r="H80" s="23"/>
      <x:c r="I80" s="23"/>
      <x:c r="J80" s="23"/>
      <x:c r="K80" s="23"/>
      <x:c r="L80" s="23"/>
      <x:c r="M80" s="23"/>
      <x:c r="N80" s="23"/>
    </x:row>
    <x:row r="81" ht="15" hidden="0" customHeight="1">
      <x:c r="A81" s="21"/>
      <x:c r="B81" s="23"/>
      <x:c r="C81" s="23"/>
      <x:c r="D81" s="23"/>
      <x:c r="E81" s="23"/>
      <x:c r="F81" s="23"/>
      <x:c r="G81" s="23"/>
      <x:c r="H81" s="23"/>
      <x:c r="I81" s="23"/>
      <x:c r="J81" s="23"/>
      <x:c r="K81" s="23"/>
      <x:c r="L81" s="23"/>
      <x:c r="M81" s="23"/>
      <x:c r="N81" s="23"/>
    </x:row>
    <x:row r="82" ht="15" hidden="0" customHeight="1">
      <x:c r="A82" s="21"/>
      <x:c r="B82" s="23"/>
      <x:c r="C82" s="23"/>
      <x:c r="D82" s="23"/>
      <x:c r="E82" s="23"/>
      <x:c r="F82" s="23"/>
      <x:c r="G82" s="23"/>
      <x:c r="H82" s="23"/>
      <x:c r="I82" s="23"/>
      <x:c r="J82" s="23"/>
      <x:c r="K82" s="23"/>
      <x:c r="L82" s="23"/>
      <x:c r="M82" s="23"/>
      <x:c r="N82" s="23"/>
    </x:row>
    <x:row r="83" ht="15" hidden="0" customHeight="1">
      <x:c r="A83" s="21"/>
      <x:c r="B83" s="23"/>
      <x:c r="C83" s="23"/>
      <x:c r="D83" s="23"/>
      <x:c r="E83" s="23"/>
      <x:c r="F83" s="23"/>
      <x:c r="G83" s="23"/>
      <x:c r="H83" s="23"/>
      <x:c r="I83" s="23"/>
      <x:c r="J83" s="23"/>
      <x:c r="K83" s="23"/>
      <x:c r="L83" s="23"/>
      <x:c r="M83" s="23"/>
      <x:c r="N83" s="23"/>
    </x:row>
    <x:row r="84" ht="15" hidden="0" customHeight="1">
      <x:c r="A84" s="21"/>
      <x:c r="B84" s="23"/>
      <x:c r="C84" s="23"/>
      <x:c r="D84" s="23"/>
      <x:c r="E84" s="23"/>
      <x:c r="F84" s="23"/>
      <x:c r="G84" s="23"/>
      <x:c r="H84" s="23"/>
      <x:c r="I84" s="23"/>
      <x:c r="J84" s="23"/>
      <x:c r="K84" s="23"/>
      <x:c r="L84" s="23"/>
      <x:c r="M84" s="23"/>
      <x:c r="N84" s="23"/>
    </x:row>
    <x:row r="85" ht="15" hidden="0" customHeight="1">
      <x:c r="A85" s="21"/>
      <x:c r="B85" s="23"/>
      <x:c r="C85" s="23"/>
      <x:c r="D85" s="23"/>
      <x:c r="E85" s="23"/>
      <x:c r="F85" s="23"/>
      <x:c r="G85" s="23"/>
      <x:c r="H85" s="23"/>
      <x:c r="I85" s="23"/>
      <x:c r="J85" s="23"/>
      <x:c r="K85" s="23"/>
      <x:c r="L85" s="23"/>
      <x:c r="M85" s="23"/>
      <x:c r="N85" s="23"/>
    </x:row>
    <x:row r="86" ht="15" hidden="0" customHeight="1">
      <x:c r="A86" s="21"/>
      <x:c r="B86" s="23"/>
      <x:c r="C86" s="23"/>
      <x:c r="D86" s="23"/>
      <x:c r="E86" s="23"/>
      <x:c r="F86" s="23"/>
      <x:c r="G86" s="23"/>
      <x:c r="H86" s="23"/>
      <x:c r="I86" s="23"/>
      <x:c r="J86" s="23"/>
      <x:c r="K86" s="23"/>
      <x:c r="L86" s="23"/>
      <x:c r="M86" s="23"/>
      <x:c r="N86" s="23"/>
    </x:row>
    <x:row r="87" ht="15" hidden="0" customHeight="1">
      <x:c r="A87" s="21"/>
      <x:c r="B87" s="23"/>
      <x:c r="C87" s="23"/>
      <x:c r="D87" s="23"/>
      <x:c r="E87" s="23"/>
      <x:c r="F87" s="23"/>
      <x:c r="G87" s="23"/>
      <x:c r="H87" s="23"/>
      <x:c r="I87" s="23"/>
      <x:c r="J87" s="23"/>
      <x:c r="K87" s="23"/>
      <x:c r="L87" s="23"/>
      <x:c r="M87" s="23"/>
      <x:c r="N87" s="23"/>
    </x:row>
    <x:row r="88" ht="15" hidden="0" customHeight="1">
      <x:c r="A88" s="21"/>
      <x:c r="B88" s="23"/>
      <x:c r="C88" s="23"/>
      <x:c r="D88" s="23"/>
      <x:c r="E88" s="23"/>
      <x:c r="F88" s="23"/>
      <x:c r="G88" s="23"/>
      <x:c r="H88" s="23"/>
      <x:c r="I88" s="23"/>
      <x:c r="J88" s="23"/>
      <x:c r="K88" s="23"/>
      <x:c r="L88" s="23"/>
      <x:c r="M88" s="23"/>
      <x:c r="N88" s="23"/>
    </x:row>
    <x:row r="89" ht="15" hidden="0" customHeight="1">
      <x:c r="A89" s="21"/>
      <x:c r="B89" s="23"/>
      <x:c r="C89" s="23"/>
      <x:c r="D89" s="23"/>
      <x:c r="E89" s="23"/>
      <x:c r="F89" s="23"/>
      <x:c r="G89" s="23"/>
      <x:c r="H89" s="23"/>
      <x:c r="I89" s="23"/>
      <x:c r="J89" s="23"/>
      <x:c r="K89" s="23"/>
      <x:c r="L89" s="23"/>
      <x:c r="M89" s="23"/>
      <x:c r="N89" s="23"/>
    </x:row>
    <x:row r="90" ht="15" hidden="0" customHeight="1">
      <x:c r="A90" s="21"/>
      <x:c r="B90" s="23"/>
      <x:c r="C90" s="23"/>
      <x:c r="D90" s="23"/>
      <x:c r="E90" s="23"/>
      <x:c r="F90" s="23"/>
      <x:c r="G90" s="23"/>
      <x:c r="H90" s="23"/>
      <x:c r="I90" s="23"/>
      <x:c r="J90" s="23"/>
      <x:c r="K90" s="23"/>
      <x:c r="L90" s="23"/>
      <x:c r="M90" s="23"/>
      <x:c r="N90" s="23"/>
    </x:row>
    <x:row r="91" ht="15" hidden="0" customHeight="1">
      <x:c r="A91" s="21"/>
      <x:c r="B91" s="23"/>
      <x:c r="C91" s="23"/>
      <x:c r="D91" s="23"/>
      <x:c r="E91" s="23"/>
      <x:c r="F91" s="23"/>
      <x:c r="G91" s="23"/>
      <x:c r="H91" s="23"/>
      <x:c r="I91" s="23"/>
      <x:c r="J91" s="23"/>
      <x:c r="K91" s="23"/>
      <x:c r="L91" s="23"/>
      <x:c r="M91" s="23"/>
      <x:c r="N91" s="23"/>
    </x:row>
    <x:row r="92" ht="15" hidden="0" customHeight="1">
      <x:c r="A92" s="21"/>
      <x:c r="B92" s="23"/>
      <x:c r="C92" s="23"/>
      <x:c r="D92" s="23"/>
      <x:c r="E92" s="23"/>
      <x:c r="F92" s="23"/>
      <x:c r="G92" s="23"/>
      <x:c r="H92" s="23"/>
      <x:c r="I92" s="23"/>
      <x:c r="J92" s="23"/>
      <x:c r="K92" s="23"/>
      <x:c r="L92" s="23"/>
      <x:c r="M92" s="23"/>
      <x:c r="N92" s="23"/>
    </x:row>
    <x:row r="93" ht="15" hidden="0" customHeight="1">
      <x:c r="A93" s="21"/>
      <x:c r="B93" s="23"/>
      <x:c r="C93" s="23"/>
      <x:c r="D93" s="23"/>
      <x:c r="E93" s="23"/>
      <x:c r="F93" s="23"/>
      <x:c r="G93" s="23"/>
      <x:c r="H93" s="23"/>
      <x:c r="I93" s="23"/>
      <x:c r="J93" s="23"/>
      <x:c r="K93" s="23"/>
      <x:c r="L93" s="23"/>
      <x:c r="M93" s="23"/>
      <x:c r="N93" s="23"/>
    </x:row>
    <x:row r="94" ht="15" hidden="0" customHeight="1">
      <x:c r="A94" s="21"/>
      <x:c r="B94" s="23"/>
      <x:c r="C94" s="23"/>
      <x:c r="D94" s="23"/>
      <x:c r="E94" s="23"/>
      <x:c r="F94" s="23"/>
      <x:c r="G94" s="23"/>
      <x:c r="H94" s="23"/>
      <x:c r="I94" s="23"/>
      <x:c r="J94" s="23"/>
      <x:c r="K94" s="23"/>
      <x:c r="L94" s="23"/>
      <x:c r="M94" s="23"/>
      <x:c r="N94" s="23"/>
    </x:row>
    <x:row r="95" ht="15" hidden="0" customHeight="1">
      <x:c r="A95" s="21"/>
      <x:c r="B95" s="23"/>
      <x:c r="C95" s="23"/>
      <x:c r="D95" s="23"/>
      <x:c r="E95" s="23"/>
      <x:c r="F95" s="23"/>
      <x:c r="G95" s="23"/>
      <x:c r="H95" s="23"/>
      <x:c r="I95" s="23"/>
      <x:c r="J95" s="23"/>
      <x:c r="K95" s="23"/>
      <x:c r="L95" s="23"/>
      <x:c r="M95" s="23"/>
      <x:c r="N95" s="23"/>
    </x:row>
    <x:row r="96" ht="15" hidden="0" customHeight="1">
      <x:c r="A96" s="21"/>
      <x:c r="B96" s="23"/>
      <x:c r="C96" s="23"/>
      <x:c r="D96" s="23"/>
      <x:c r="E96" s="23"/>
      <x:c r="F96" s="23"/>
      <x:c r="G96" s="23"/>
      <x:c r="H96" s="23"/>
      <x:c r="I96" s="23"/>
      <x:c r="J96" s="23"/>
      <x:c r="K96" s="23"/>
      <x:c r="L96" s="23"/>
      <x:c r="M96" s="23"/>
      <x:c r="N96" s="23"/>
    </x:row>
    <x:row r="97" ht="15" hidden="0" customHeight="1">
      <x:c r="A97" s="21"/>
      <x:c r="B97" s="23"/>
      <x:c r="C97" s="23"/>
      <x:c r="D97" s="23"/>
      <x:c r="E97" s="23"/>
      <x:c r="F97" s="23"/>
      <x:c r="G97" s="23"/>
      <x:c r="H97" s="23"/>
      <x:c r="I97" s="23"/>
      <x:c r="J97" s="23"/>
      <x:c r="K97" s="23"/>
      <x:c r="L97" s="23"/>
      <x:c r="M97" s="23"/>
      <x:c r="N97" s="23"/>
    </x:row>
    <x:row r="98" ht="15" hidden="0" customHeight="1">
      <x:c r="A98" s="21"/>
      <x:c r="B98" s="23"/>
      <x:c r="C98" s="23"/>
      <x:c r="D98" s="23"/>
      <x:c r="E98" s="23"/>
      <x:c r="F98" s="23"/>
      <x:c r="G98" s="23"/>
      <x:c r="H98" s="23"/>
      <x:c r="I98" s="23"/>
      <x:c r="J98" s="23"/>
      <x:c r="K98" s="23"/>
      <x:c r="L98" s="23"/>
      <x:c r="M98" s="23"/>
      <x:c r="N98" s="23"/>
    </x:row>
    <x:row r="99" ht="15" hidden="0" customHeight="1">
      <x:c r="A99" s="21"/>
      <x:c r="B99" s="23"/>
      <x:c r="C99" s="23"/>
      <x:c r="D99" s="23"/>
      <x:c r="E99" s="23"/>
      <x:c r="F99" s="23"/>
      <x:c r="G99" s="23"/>
      <x:c r="H99" s="23"/>
      <x:c r="I99" s="23"/>
      <x:c r="J99" s="23"/>
      <x:c r="K99" s="23"/>
      <x:c r="L99" s="23"/>
      <x:c r="M99" s="23"/>
      <x:c r="N99" s="23"/>
    </x:row>
    <x:row r="100" ht="15" hidden="0" customHeight="1">
      <x:c r="A100" s="21"/>
      <x:c r="B100" s="23"/>
      <x:c r="C100" s="23"/>
      <x:c r="D100" s="23"/>
      <x:c r="E100" s="23"/>
      <x:c r="F100" s="23"/>
      <x:c r="G100" s="23"/>
      <x:c r="H100" s="23"/>
      <x:c r="I100" s="23"/>
      <x:c r="J100" s="23"/>
      <x:c r="K100" s="23"/>
      <x:c r="L100" s="23"/>
      <x:c r="M100" s="23"/>
      <x:c r="N100" s="23"/>
    </x:row>
    <x:row r="101" ht="15" hidden="0" customHeight="1">
      <x:c r="A101" s="21"/>
      <x:c r="B101" s="23"/>
      <x:c r="C101" s="23"/>
      <x:c r="D101" s="23"/>
      <x:c r="E101" s="23"/>
      <x:c r="F101" s="23"/>
      <x:c r="G101" s="23"/>
      <x:c r="H101" s="23"/>
      <x:c r="I101" s="23"/>
      <x:c r="J101" s="23"/>
      <x:c r="K101" s="23"/>
      <x:c r="L101" s="23"/>
      <x:c r="M101" s="23"/>
      <x:c r="N101" s="23"/>
    </x:row>
    <x:row r="102" ht="15" hidden="0" customHeight="1">
      <x:c r="A102" s="21"/>
      <x:c r="B102" s="23"/>
      <x:c r="C102" s="23"/>
      <x:c r="D102" s="23"/>
      <x:c r="E102" s="23"/>
      <x:c r="F102" s="23"/>
      <x:c r="G102" s="23"/>
      <x:c r="H102" s="23"/>
      <x:c r="I102" s="23"/>
      <x:c r="J102" s="23"/>
      <x:c r="K102" s="23"/>
      <x:c r="L102" s="23"/>
      <x:c r="M102" s="23"/>
      <x:c r="N102" s="23"/>
    </x:row>
    <x:row r="103" ht="15" hidden="0" customHeight="1">
      <x:c r="A103" s="21"/>
      <x:c r="B103" s="23"/>
      <x:c r="C103" s="23"/>
      <x:c r="D103" s="23"/>
      <x:c r="E103" s="23"/>
      <x:c r="F103" s="23"/>
      <x:c r="G103" s="23"/>
      <x:c r="H103" s="23"/>
      <x:c r="I103" s="23"/>
      <x:c r="J103" s="23"/>
      <x:c r="K103" s="23"/>
      <x:c r="L103" s="23"/>
      <x:c r="M103" s="23"/>
      <x:c r="N103" s="23"/>
    </x:row>
    <x:row r="104" ht="15" hidden="0" customHeight="1">
      <x:c r="A104" s="21"/>
      <x:c r="B104" s="23"/>
      <x:c r="C104" s="23"/>
      <x:c r="D104" s="23"/>
      <x:c r="E104" s="23"/>
      <x:c r="F104" s="23"/>
      <x:c r="G104" s="23"/>
      <x:c r="H104" s="23"/>
      <x:c r="I104" s="23"/>
      <x:c r="J104" s="23"/>
      <x:c r="K104" s="23"/>
      <x:c r="L104" s="23"/>
      <x:c r="M104" s="23"/>
      <x:c r="N104" s="23"/>
    </x:row>
    <x:row r="105" ht="15" hidden="0" customHeight="1">
      <x:c r="A105" s="21"/>
      <x:c r="B105" s="23"/>
      <x:c r="C105" s="23"/>
      <x:c r="D105" s="23"/>
      <x:c r="E105" s="23"/>
      <x:c r="F105" s="23"/>
      <x:c r="G105" s="23"/>
      <x:c r="H105" s="23"/>
      <x:c r="I105" s="23"/>
      <x:c r="J105" s="23"/>
      <x:c r="K105" s="23"/>
      <x:c r="L105" s="23"/>
      <x:c r="M105" s="23"/>
      <x:c r="N105" s="23"/>
    </x:row>
    <x:row r="106" ht="15" hidden="0" customHeight="1">
      <x:c r="A106" s="21"/>
      <x:c r="B106" s="23"/>
      <x:c r="C106" s="23"/>
      <x:c r="D106" s="23"/>
      <x:c r="E106" s="23"/>
      <x:c r="F106" s="23"/>
      <x:c r="G106" s="23"/>
      <x:c r="H106" s="23"/>
      <x:c r="I106" s="23"/>
      <x:c r="J106" s="23"/>
      <x:c r="K106" s="23"/>
      <x:c r="L106" s="23"/>
      <x:c r="M106" s="23"/>
      <x:c r="N106" s="23"/>
    </x:row>
    <x:row r="107" ht="15" hidden="0" customHeight="1">
      <x:c r="A107" s="21"/>
      <x:c r="B107" s="23"/>
      <x:c r="C107" s="23"/>
      <x:c r="D107" s="23"/>
      <x:c r="E107" s="23"/>
      <x:c r="F107" s="23"/>
      <x:c r="G107" s="23"/>
      <x:c r="H107" s="23"/>
      <x:c r="I107" s="23"/>
      <x:c r="J107" s="23"/>
      <x:c r="K107" s="23"/>
      <x:c r="L107" s="23"/>
      <x:c r="M107" s="23"/>
      <x:c r="N107" s="23"/>
    </x:row>
    <x:row r="108" ht="15" hidden="0" customHeight="1">
      <x:c r="A108" s="21"/>
      <x:c r="B108" s="23"/>
      <x:c r="C108" s="23"/>
      <x:c r="D108" s="23"/>
      <x:c r="E108" s="23"/>
      <x:c r="F108" s="23"/>
      <x:c r="G108" s="23"/>
      <x:c r="H108" s="23"/>
      <x:c r="I108" s="23"/>
      <x:c r="J108" s="23"/>
      <x:c r="K108" s="23"/>
      <x:c r="L108" s="23"/>
      <x:c r="M108" s="23"/>
      <x:c r="N108" s="23"/>
    </x:row>
    <x:row r="109" ht="15" hidden="0" customHeight="1">
      <x:c r="A109" s="21"/>
      <x:c r="B109" s="23"/>
      <x:c r="C109" s="23"/>
      <x:c r="D109" s="23"/>
      <x:c r="E109" s="23"/>
      <x:c r="F109" s="23"/>
      <x:c r="G109" s="23"/>
      <x:c r="H109" s="23"/>
      <x:c r="I109" s="23"/>
      <x:c r="J109" s="23"/>
      <x:c r="K109" s="23"/>
      <x:c r="L109" s="23"/>
      <x:c r="M109" s="23"/>
      <x:c r="N109" s="23"/>
    </x:row>
    <x:row r="110" ht="15" hidden="0" customHeight="1">
      <x:c r="A110" s="21"/>
      <x:c r="B110" s="23"/>
      <x:c r="C110" s="23"/>
      <x:c r="D110" s="23"/>
      <x:c r="E110" s="23"/>
      <x:c r="F110" s="23"/>
      <x:c r="G110" s="23"/>
      <x:c r="H110" s="23"/>
      <x:c r="I110" s="23"/>
      <x:c r="J110" s="23"/>
      <x:c r="K110" s="23"/>
      <x:c r="L110" s="23"/>
      <x:c r="M110" s="23"/>
      <x:c r="N110" s="23"/>
    </x:row>
    <x:row r="111" ht="15" hidden="0" customHeight="1">
      <x:c r="A111" s="21"/>
      <x:c r="B111" s="23"/>
      <x:c r="C111" s="23"/>
      <x:c r="D111" s="23"/>
      <x:c r="E111" s="23"/>
      <x:c r="F111" s="23"/>
      <x:c r="G111" s="23"/>
      <x:c r="H111" s="23"/>
      <x:c r="I111" s="23"/>
      <x:c r="J111" s="23"/>
      <x:c r="K111" s="23"/>
      <x:c r="L111" s="23"/>
      <x:c r="M111" s="23"/>
      <x:c r="N111" s="23"/>
    </x:row>
    <x:row r="112" ht="15" hidden="0" customHeight="1">
      <x:c r="A112" s="21"/>
      <x:c r="B112" s="23"/>
      <x:c r="C112" s="23"/>
      <x:c r="D112" s="23"/>
      <x:c r="E112" s="23"/>
      <x:c r="F112" s="23"/>
      <x:c r="G112" s="23"/>
      <x:c r="H112" s="23"/>
      <x:c r="I112" s="23"/>
      <x:c r="J112" s="23"/>
      <x:c r="K112" s="23"/>
      <x:c r="L112" s="23"/>
      <x:c r="M112" s="23"/>
      <x:c r="N112" s="23"/>
    </x:row>
    <x:row r="113" ht="15" hidden="0" customHeight="1">
      <x:c r="A113" s="21"/>
      <x:c r="B113" s="23"/>
      <x:c r="C113" s="23"/>
      <x:c r="D113" s="23"/>
      <x:c r="E113" s="23"/>
      <x:c r="F113" s="23"/>
      <x:c r="G113" s="23"/>
      <x:c r="H113" s="23"/>
      <x:c r="I113" s="23"/>
      <x:c r="J113" s="23"/>
      <x:c r="K113" s="23"/>
      <x:c r="L113" s="23"/>
      <x:c r="M113" s="23"/>
      <x:c r="N113" s="23"/>
    </x:row>
    <x:row r="114" ht="15" hidden="0" customHeight="1">
      <x:c r="A114" s="21"/>
      <x:c r="B114" s="23"/>
      <x:c r="C114" s="23"/>
      <x:c r="D114" s="23"/>
      <x:c r="E114" s="23"/>
      <x:c r="F114" s="23"/>
      <x:c r="G114" s="23"/>
      <x:c r="H114" s="23"/>
      <x:c r="I114" s="23"/>
      <x:c r="J114" s="23"/>
      <x:c r="K114" s="23"/>
      <x:c r="L114" s="23"/>
      <x:c r="M114" s="23"/>
      <x:c r="N114" s="23"/>
    </x:row>
    <x:row r="115" ht="15" hidden="0" customHeight="1">
      <x:c r="A115" s="21"/>
      <x:c r="B115" s="23"/>
      <x:c r="C115" s="23"/>
      <x:c r="D115" s="23"/>
      <x:c r="E115" s="23"/>
      <x:c r="F115" s="23"/>
      <x:c r="G115" s="23"/>
      <x:c r="H115" s="23"/>
      <x:c r="I115" s="23"/>
      <x:c r="J115" s="23"/>
      <x:c r="K115" s="23"/>
      <x:c r="L115" s="23"/>
      <x:c r="M115" s="23"/>
      <x:c r="N115" s="23"/>
    </x:row>
    <x:row r="116" ht="15" hidden="0" customHeight="1">
      <x:c r="A116" s="21"/>
      <x:c r="B116" s="23"/>
      <x:c r="C116" s="23"/>
      <x:c r="D116" s="23"/>
      <x:c r="E116" s="23"/>
      <x:c r="F116" s="23"/>
      <x:c r="G116" s="23"/>
      <x:c r="H116" s="23"/>
      <x:c r="I116" s="23"/>
      <x:c r="J116" s="23"/>
      <x:c r="K116" s="23"/>
      <x:c r="L116" s="23"/>
      <x:c r="M116" s="23"/>
      <x:c r="N116" s="23"/>
    </x:row>
    <x:row r="117" ht="15" hidden="0" customHeight="1">
      <x:c r="A117" s="21"/>
      <x:c r="B117" s="23"/>
      <x:c r="C117" s="23"/>
      <x:c r="D117" s="23"/>
      <x:c r="E117" s="23"/>
      <x:c r="F117" s="23"/>
      <x:c r="G117" s="23"/>
      <x:c r="H117" s="23"/>
      <x:c r="I117" s="23"/>
      <x:c r="J117" s="23"/>
      <x:c r="K117" s="23"/>
      <x:c r="L117" s="23"/>
      <x:c r="M117" s="23"/>
      <x:c r="N117" s="23"/>
    </x:row>
    <x:row r="118" ht="15" hidden="0" customHeight="1">
      <x:c r="A118" s="21"/>
      <x:c r="B118" s="23"/>
      <x:c r="C118" s="23"/>
      <x:c r="D118" s="23"/>
      <x:c r="E118" s="23"/>
      <x:c r="F118" s="23"/>
      <x:c r="G118" s="23"/>
      <x:c r="H118" s="23"/>
      <x:c r="I118" s="23"/>
      <x:c r="J118" s="23"/>
      <x:c r="K118" s="23"/>
      <x:c r="L118" s="23"/>
      <x:c r="M118" s="23"/>
      <x:c r="N118" s="23"/>
    </x:row>
    <x:row r="119" ht="15" hidden="0" customHeight="1">
      <x:c r="A119" s="21"/>
      <x:c r="B119" s="23"/>
      <x:c r="C119" s="23"/>
      <x:c r="D119" s="23"/>
      <x:c r="E119" s="23"/>
      <x:c r="F119" s="23"/>
      <x:c r="G119" s="23"/>
      <x:c r="H119" s="23"/>
      <x:c r="I119" s="23"/>
      <x:c r="J119" s="23"/>
      <x:c r="K119" s="23"/>
      <x:c r="L119" s="23"/>
      <x:c r="M119" s="23"/>
      <x:c r="N119" s="23"/>
    </x:row>
    <x:row r="120" ht="15" hidden="0" customHeight="1">
      <x:c r="A120" s="21"/>
      <x:c r="B120" s="23"/>
      <x:c r="C120" s="23"/>
      <x:c r="D120" s="23"/>
      <x:c r="E120" s="23"/>
      <x:c r="F120" s="23"/>
      <x:c r="G120" s="23"/>
      <x:c r="H120" s="23"/>
      <x:c r="I120" s="23"/>
      <x:c r="J120" s="23"/>
      <x:c r="K120" s="23"/>
      <x:c r="L120" s="23"/>
      <x:c r="M120" s="23"/>
      <x:c r="N120" s="23"/>
    </x:row>
  </x:sheetData>
  <x:mergeCells>
    <x:mergeCell ref="B43:K43"/>
    <x:mergeCell ref="B44:K44"/>
    <x:mergeCell ref="B45:K45"/>
    <x:mergeCell ref="B46:K46"/>
    <x:mergeCell ref="B47:K47"/>
    <x:mergeCell ref="B48:K48"/>
    <x:mergeCell ref="A42:K42"/>
  </x:mergeCell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16" hidden="0" customWidth="1"/>
    <x:col min="3" max="3" width="14" hidden="0" customWidth="1"/>
    <x:col min="4" max="4" width="14" hidden="0" customWidth="1"/>
    <x:col min="5" max="5" width="16" hidden="0" customWidth="1"/>
    <x:col min="6" max="6" width="14" hidden="0" customWidth="1"/>
    <x:col min="7" max="7" width="18" hidden="0" customWidth="1"/>
    <x:col min="8" max="8" width="18" hidden="0" customWidth="1"/>
    <x:col min="9" max="9" width="16" hidden="0" customWidth="1"/>
    <x:col min="10" max="10" width="16" hidden="0" customWidth="1"/>
    <x:col min="11" max="11" width="16" hidden="0" customWidth="1"/>
    <x:col min="12" max="12" width="16" hidden="0" customWidth="1"/>
    <x:col min="13" max="13" width="18" hidden="0" customWidth="1"/>
    <x:col min="14" max="14" width="18" hidden="0" customWidth="1"/>
  </x:cols>
  <x:sheetData>
    <x:row r="1" ht="40.283203125" hidden="0" customHeight="1">
      <x:c r="A1" s="22" t="str">
        <x:v>Exp 13 - Two Way ANOVA of Service Station Ratings</x:v>
      </x:c>
      <x:c r="B1" s="22" t="str"/>
      <x:c r="C1" s="22" t="str"/>
      <x:c r="D1" s="22" t="str"/>
      <x:c r="E1" s="22" t="str"/>
      <x:c r="F1" s="22" t="str"/>
      <x:c r="G1" s="22" t="str"/>
      <x:c r="H1" s="22" t="str"/>
      <x:c r="I1" s="21"/>
      <x:c r="J1" s="21"/>
      <x:c r="K1" s="21"/>
      <x:c r="L1" s="21"/>
      <x:c r="M1" s="21"/>
      <x:c r="N1" s="21"/>
    </x:row>
    <x:row r="2" ht="15" hidden="0" customHeight="1">
      <x:c r="A2" s="21"/>
      <x:c r="B2" s="21"/>
      <x:c r="C2" s="21"/>
      <x:c r="D2" s="21"/>
      <x:c r="E2" s="21"/>
      <x:c r="F2" s="21"/>
      <x:c r="G2" s="21"/>
      <x:c r="H2" s="21"/>
      <x:c r="I2" s="21"/>
      <x:c r="J2" s="21"/>
      <x:c r="K2" s="21"/>
      <x:c r="L2" s="21"/>
      <x:c r="M2" s="21"/>
      <x:c r="N2" s="21"/>
    </x:row>
    <x:row r="3" ht="15" hidden="0" customHeight="1">
      <x:c r="A3" s="22" t="str">
        <x:v>Section 1: Excel Work</x:v>
      </x:c>
      <x:c r="B3" s="22" t="str"/>
      <x:c r="C3" s="22" t="str"/>
      <x:c r="D3" s="22" t="str"/>
      <x:c r="E3" s="22" t="str"/>
      <x:c r="F3" s="22" t="str"/>
      <x:c r="G3" s="22" t="str"/>
      <x:c r="H3" s="22" t="str"/>
      <x:c r="I3" s="21"/>
      <x:c r="J3" s="21"/>
      <x:c r="K3" s="21"/>
      <x:c r="L3" s="21"/>
      <x:c r="M3" s="21"/>
      <x:c r="N3" s="21"/>
    </x:row>
    <x:row r="4" ht="15" hidden="0" customHeight="1">
      <x:c r="A4" s="21"/>
      <x:c r="B4" s="21"/>
      <x:c r="C4" s="21"/>
      <x:c r="D4" s="21"/>
      <x:c r="E4" s="21"/>
      <x:c r="F4" s="21"/>
      <x:c r="G4" s="21"/>
      <x:c r="H4" s="21"/>
      <x:c r="I4" s="21"/>
      <x:c r="J4" s="21"/>
      <x:c r="K4" s="21"/>
      <x:c r="L4" s="21"/>
      <x:c r="M4" s="21"/>
      <x:c r="N4" s="21"/>
    </x:row>
    <x:row r="5" ht="53.7109375" hidden="0" customHeight="1">
      <x:c r="A5" s="22" t="str">
        <x:v>Visible Data Table: Quality Ratings by Five Professional Raters</x:v>
      </x:c>
      <x:c r="B5" s="22" t="str"/>
      <x:c r="C5" s="22" t="str"/>
      <x:c r="D5" s="22" t="str"/>
      <x:c r="E5" s="22" t="str"/>
      <x:c r="F5" s="22" t="str"/>
      <x:c r="G5" s="22" t="str"/>
      <x:c r="H5" s="22" t="str"/>
      <x:c r="I5" s="22" t="str"/>
      <x:c r="J5" s="22" t="str"/>
      <x:c r="K5" s="22" t="str"/>
      <x:c r="L5" s="22" t="str"/>
      <x:c r="M5" s="22" t="str"/>
      <x:c r="N5" s="21"/>
    </x:row>
    <x:row r="6" ht="15" hidden="0" customHeight="1">
      <x:c r="A6" s="21"/>
      <x:c r="B6" s="21"/>
      <x:c r="C6" s="21"/>
      <x:c r="D6" s="21"/>
      <x:c r="E6" s="21"/>
      <x:c r="F6" s="21"/>
      <x:c r="G6" s="21"/>
      <x:c r="H6" s="21"/>
      <x:c r="I6" s="21"/>
      <x:c r="J6" s="21"/>
      <x:c r="K6" s="21"/>
      <x:c r="L6" s="21"/>
      <x:c r="M6" s="21"/>
      <x:c r="N6" s="21"/>
    </x:row>
    <x:row r="7" ht="15" hidden="0" customHeight="1">
      <x:c r="A7" s="22" t="str">
        <x:v>Rater</x:v>
      </x:c>
      <x:c r="B7" s="22" t="str">
        <x:v>Station 1</x:v>
      </x:c>
      <x:c r="C7" s="22" t="str">
        <x:v>Station 2</x:v>
      </x:c>
      <x:c r="D7" s="22" t="str">
        <x:v>Station 3</x:v>
      </x:c>
      <x:c r="E7" s="22" t="str">
        <x:v>Station 4</x:v>
      </x:c>
      <x:c r="F7" s="22" t="str">
        <x:v>Station 5</x:v>
      </x:c>
      <x:c r="G7" s="22" t="str">
        <x:v>Station 6</x:v>
      </x:c>
      <x:c r="H7" s="22" t="str">
        <x:v>Station 7</x:v>
      </x:c>
      <x:c r="I7" s="22" t="str">
        <x:v>Station 8</x:v>
      </x:c>
      <x:c r="J7" s="22" t="str">
        <x:v>Station 9</x:v>
      </x:c>
      <x:c r="K7" s="22" t="str">
        <x:v>Station 10</x:v>
      </x:c>
      <x:c r="L7" s="22" t="str">
        <x:v>Row Total</x:v>
      </x:c>
      <x:c r="M7" s="22" t="str">
        <x:v>Row Mean</x:v>
      </x:c>
      <x:c r="N7" s="21"/>
    </x:row>
    <x:row r="8" ht="15" hidden="0" customHeight="1">
      <x:c r="A8" s="21" t="str">
        <x:v>A</x:v>
      </x:c>
      <x:c r="B8" s="23" t="n">
        <x:v>99</x:v>
      </x:c>
      <x:c r="C8" s="23" t="n">
        <x:v>70</x:v>
      </x:c>
      <x:c r="D8" s="23" t="n">
        <x:v>90</x:v>
      </x:c>
      <x:c r="E8" s="23" t="n">
        <x:v>99</x:v>
      </x:c>
      <x:c r="F8" s="23" t="n">
        <x:v>65</x:v>
      </x:c>
      <x:c r="G8" s="23" t="n">
        <x:v>85</x:v>
      </x:c>
      <x:c r="H8" s="23" t="n">
        <x:v>75</x:v>
      </x:c>
      <x:c r="I8" s="23" t="n">
        <x:v>70</x:v>
      </x:c>
      <x:c r="J8" s="23" t="n">
        <x:v>85</x:v>
      </x:c>
      <x:c r="K8" s="23" t="n">
        <x:v>82</x:v>
      </x:c>
      <x:c r="L8" s="23" t="n">
        <x:f>SUM(B8:K8)</x:f>
        <x:v>820</x:v>
      </x:c>
      <x:c r="M8" s="23" t="n">
        <x:f>AVERAGE(B8:K8)</x:f>
        <x:v>82</x:v>
      </x:c>
      <x:c r="N8" s="23"/>
    </x:row>
    <x:row r="9" ht="15" hidden="0" customHeight="1">
      <x:c r="A9" s="21" t="str">
        <x:v>B</x:v>
      </x:c>
      <x:c r="B9" s="23" t="n">
        <x:v>96</x:v>
      </x:c>
      <x:c r="C9" s="23" t="n">
        <x:v>65</x:v>
      </x:c>
      <x:c r="D9" s="23" t="n">
        <x:v>80</x:v>
      </x:c>
      <x:c r="E9" s="23" t="n">
        <x:v>95</x:v>
      </x:c>
      <x:c r="F9" s="23" t="n">
        <x:v>70</x:v>
      </x:c>
      <x:c r="G9" s="23" t="n">
        <x:v>87</x:v>
      </x:c>
      <x:c r="H9" s="23" t="n">
        <x:v>70</x:v>
      </x:c>
      <x:c r="I9" s="23" t="n">
        <x:v>51</x:v>
      </x:c>
      <x:c r="J9" s="23" t="n">
        <x:v>84</x:v>
      </x:c>
      <x:c r="K9" s="23" t="n">
        <x:v>91</x:v>
      </x:c>
      <x:c r="L9" s="23" t="n">
        <x:f>SUM(B9:K9)</x:f>
        <x:v>789</x:v>
      </x:c>
      <x:c r="M9" s="23" t="n">
        <x:f>AVERAGE(B9:K9)</x:f>
        <x:v>78.9</x:v>
      </x:c>
      <x:c r="N9" s="23"/>
    </x:row>
    <x:row r="10" ht="15" hidden="0" customHeight="1">
      <x:c r="A10" s="21" t="str">
        <x:v>C</x:v>
      </x:c>
      <x:c r="B10" s="23" t="n">
        <x:v>95</x:v>
      </x:c>
      <x:c r="C10" s="23" t="n">
        <x:v>60</x:v>
      </x:c>
      <x:c r="D10" s="23" t="n">
        <x:v>48</x:v>
      </x:c>
      <x:c r="E10" s="23" t="n">
        <x:v>87</x:v>
      </x:c>
      <x:c r="F10" s="23" t="n">
        <x:v>48</x:v>
      </x:c>
      <x:c r="G10" s="23" t="n">
        <x:v>75</x:v>
      </x:c>
      <x:c r="H10" s="23" t="n">
        <x:v>71</x:v>
      </x:c>
      <x:c r="I10" s="23" t="n">
        <x:v>93</x:v>
      </x:c>
      <x:c r="J10" s="23" t="n">
        <x:v>80</x:v>
      </x:c>
      <x:c r="K10" s="23" t="n">
        <x:v>93</x:v>
      </x:c>
      <x:c r="L10" s="23" t="n">
        <x:f>SUM(B10:K10)</x:f>
        <x:v>750</x:v>
      </x:c>
      <x:c r="M10" s="23" t="n">
        <x:f>AVERAGE(B10:K10)</x:f>
        <x:v>75</x:v>
      </x:c>
      <x:c r="N10" s="23"/>
    </x:row>
    <x:row r="11" ht="15" hidden="0" customHeight="1">
      <x:c r="A11" s="21" t="str">
        <x:v>D</x:v>
      </x:c>
      <x:c r="B11" s="23" t="n">
        <x:v>98</x:v>
      </x:c>
      <x:c r="C11" s="23" t="n">
        <x:v>65</x:v>
      </x:c>
      <x:c r="D11" s="23" t="n">
        <x:v>70</x:v>
      </x:c>
      <x:c r="E11" s="23" t="n">
        <x:v>85</x:v>
      </x:c>
      <x:c r="F11" s="23" t="n">
        <x:v>67</x:v>
      </x:c>
      <x:c r="G11" s="23" t="n">
        <x:v>82</x:v>
      </x:c>
      <x:c r="H11" s="23" t="n">
        <x:v>73</x:v>
      </x:c>
      <x:c r="I11" s="23" t="n">
        <x:v>84</x:v>
      </x:c>
      <x:c r="J11" s="23" t="n">
        <x:v>86</x:v>
      </x:c>
      <x:c r="K11" s="23" t="n">
        <x:v>50</x:v>
      </x:c>
      <x:c r="L11" s="23" t="n">
        <x:f>SUM(B11:K11)</x:f>
        <x:v>760</x:v>
      </x:c>
      <x:c r="M11" s="23" t="n">
        <x:f>AVERAGE(B11:K11)</x:f>
        <x:v>76</x:v>
      </x:c>
      <x:c r="N11" s="23"/>
    </x:row>
    <x:row r="12" ht="15" hidden="0" customHeight="1">
      <x:c r="A12" s="21" t="str">
        <x:v>E</x:v>
      </x:c>
      <x:c r="B12" s="23" t="n">
        <x:v>97</x:v>
      </x:c>
      <x:c r="C12" s="23" t="n">
        <x:v>65</x:v>
      </x:c>
      <x:c r="D12" s="23" t="n">
        <x:v>92</x:v>
      </x:c>
      <x:c r="E12" s="23" t="n">
        <x:v>98</x:v>
      </x:c>
      <x:c r="F12" s="23" t="n">
        <x:v>60</x:v>
      </x:c>
      <x:c r="G12" s="23" t="n">
        <x:v>90</x:v>
      </x:c>
      <x:c r="H12" s="23" t="n">
        <x:v>76</x:v>
      </x:c>
      <x:c r="I12" s="23" t="n">
        <x:v>92</x:v>
      </x:c>
      <x:c r="J12" s="23" t="n">
        <x:v>90</x:v>
      </x:c>
      <x:c r="K12" s="23" t="n">
        <x:v>89</x:v>
      </x:c>
      <x:c r="L12" s="23" t="n">
        <x:f>SUM(B12:K12)</x:f>
        <x:v>849</x:v>
      </x:c>
      <x:c r="M12" s="23" t="n">
        <x:f>AVERAGE(B12:K12)</x:f>
        <x:v>84.9</x:v>
      </x:c>
      <x:c r="N12" s="23"/>
    </x:row>
    <x:row r="13" ht="15" hidden="0" customHeight="1">
      <x:c r="A13" s="21"/>
      <x:c r="B13" s="23"/>
      <x:c r="C13" s="23"/>
      <x:c r="D13" s="23"/>
      <x:c r="E13" s="23"/>
      <x:c r="F13" s="23"/>
      <x:c r="G13" s="23"/>
      <x:c r="H13" s="23"/>
      <x:c r="I13" s="23"/>
      <x:c r="J13" s="23"/>
      <x:c r="K13" s="23"/>
      <x:c r="L13" s="23"/>
      <x:c r="M13" s="23"/>
      <x:c r="N13" s="23"/>
    </x:row>
    <x:row r="14" ht="15" hidden="0" customHeight="1">
      <x:c r="A14" s="22" t="str">
        <x:v>Column Total</x:v>
      </x:c>
      <x:c r="B14" s="24" t="n">
        <x:f>SUM(B8:B12)</x:f>
        <x:v>485</x:v>
      </x:c>
      <x:c r="C14" s="24" t="n">
        <x:f>SUM(C8:C12)</x:f>
        <x:v>325</x:v>
      </x:c>
      <x:c r="D14" s="24" t="n">
        <x:f>SUM(D8:D12)</x:f>
        <x:v>380</x:v>
      </x:c>
      <x:c r="E14" s="24" t="n">
        <x:f>SUM(E8:E12)</x:f>
        <x:v>464</x:v>
      </x:c>
      <x:c r="F14" s="24" t="n">
        <x:f>SUM(F8:F12)</x:f>
        <x:v>310</x:v>
      </x:c>
      <x:c r="G14" s="24" t="n">
        <x:f>SUM(G8:G12)</x:f>
        <x:v>419</x:v>
      </x:c>
      <x:c r="H14" s="24" t="n">
        <x:f>SUM(H8:H12)</x:f>
        <x:v>365</x:v>
      </x:c>
      <x:c r="I14" s="24" t="n">
        <x:f>SUM(I8:I12)</x:f>
        <x:v>390</x:v>
      </x:c>
      <x:c r="J14" s="24" t="n">
        <x:f>SUM(J8:J12)</x:f>
        <x:v>425</x:v>
      </x:c>
      <x:c r="K14" s="24" t="n">
        <x:f>SUM(K8:K12)</x:f>
        <x:v>405</x:v>
      </x:c>
      <x:c r="L14" s="24" t="n">
        <x:f>SUM(L8:L12)</x:f>
        <x:v>3968</x:v>
      </x:c>
      <x:c r="M14" s="24" t="n">
        <x:f>AVERAGE(B8:K12)</x:f>
        <x:v>79.36</x:v>
      </x:c>
      <x:c r="N14" s="23"/>
    </x:row>
    <x:row r="15" ht="15" hidden="0" customHeight="1">
      <x:c r="A15" s="21"/>
      <x:c r="B15" s="23"/>
      <x:c r="C15" s="23"/>
      <x:c r="D15" s="23"/>
      <x:c r="E15" s="23"/>
      <x:c r="F15" s="23"/>
      <x:c r="G15" s="23"/>
      <x:c r="H15" s="23"/>
      <x:c r="I15" s="23"/>
      <x:c r="J15" s="23"/>
      <x:c r="K15" s="23"/>
      <x:c r="L15" s="23"/>
      <x:c r="M15" s="23"/>
      <x:c r="N15" s="23"/>
    </x:row>
    <x:row r="16" ht="15" hidden="0" customHeight="1">
      <x:c r="A16" s="21"/>
      <x:c r="B16" s="23"/>
      <x:c r="C16" s="23"/>
      <x:c r="D16" s="23"/>
      <x:c r="E16" s="23"/>
      <x:c r="F16" s="23"/>
      <x:c r="G16" s="23"/>
      <x:c r="H16" s="23"/>
      <x:c r="I16" s="23"/>
      <x:c r="J16" s="23"/>
      <x:c r="K16" s="23"/>
      <x:c r="L16" s="23"/>
      <x:c r="M16" s="23"/>
      <x:c r="N16" s="23"/>
    </x:row>
    <x:row r="17" ht="40.283203125" hidden="0" customHeight="1">
      <x:c r="A17" s="22" t="str">
        <x:v>Summary Values from Provided Calculation</x:v>
      </x:c>
      <x:c r="B17" s="23" t="str"/>
      <x:c r="C17" s="23"/>
      <x:c r="D17" s="23"/>
      <x:c r="E17" s="23"/>
      <x:c r="F17" s="23"/>
      <x:c r="G17" s="23"/>
      <x:c r="H17" s="23"/>
      <x:c r="I17" s="24" t="str">
        <x:v>Extra Values Mentioned in Practical</x:v>
      </x:c>
      <x:c r="J17" s="23" t="str"/>
      <x:c r="K17" s="23"/>
      <x:c r="L17" s="23"/>
      <x:c r="M17" s="23"/>
      <x:c r="N17" s="23"/>
    </x:row>
    <x:row r="18" ht="26.85546875" hidden="0" customHeight="1">
      <x:c r="A18" s="22" t="str">
        <x:v>r (number of raters)</x:v>
      </x:c>
      <x:c r="B18" s="23" t="n">
        <x:v>5</x:v>
      </x:c>
      <x:c r="C18" s="23"/>
      <x:c r="D18" s="23"/>
      <x:c r="E18" s="23"/>
      <x:c r="F18" s="23"/>
      <x:c r="G18" s="23"/>
      <x:c r="H18" s="23"/>
      <x:c r="I18" s="24" t="str">
        <x:v>F calculated for stations</x:v>
      </x:c>
      <x:c r="J18" s="23" t="n">
        <x:v>9.95</x:v>
      </x:c>
      <x:c r="K18" s="23"/>
      <x:c r="L18" s="23"/>
      <x:c r="M18" s="23"/>
      <x:c r="N18" s="23"/>
    </x:row>
    <x:row r="19" ht="26.85546875" hidden="0" customHeight="1">
      <x:c r="A19" s="22" t="str">
        <x:v>c (number of service stations)</x:v>
      </x:c>
      <x:c r="B19" s="23" t="n">
        <x:v>10</x:v>
      </x:c>
      <x:c r="C19" s="23"/>
      <x:c r="D19" s="23"/>
      <x:c r="E19" s="23"/>
      <x:c r="F19" s="23"/>
      <x:c r="G19" s="23"/>
      <x:c r="H19" s="23"/>
      <x:c r="I19" s="24" t="str">
        <x:v>Table value at 5% level</x:v>
      </x:c>
      <x:c r="J19" s="23" t="n">
        <x:v>2.15</x:v>
      </x:c>
      <x:c r="K19" s="23"/>
      <x:c r="L19" s="23"/>
      <x:c r="M19" s="23"/>
      <x:c r="N19" s="23"/>
    </x:row>
    <x:row r="20" ht="40.283203125" hidden="0" customHeight="1">
      <x:c r="A20" s="22" t="str">
        <x:v>N = r × c</x:v>
      </x:c>
      <x:c r="B20" s="23" t="n">
        <x:f>B18*B19</x:f>
        <x:v>50</x:v>
      </x:c>
      <x:c r="C20" s="23"/>
      <x:c r="D20" s="23"/>
      <x:c r="E20" s="23"/>
      <x:c r="F20" s="23"/>
      <x:c r="G20" s="23"/>
      <x:c r="H20" s="23"/>
      <x:c r="I20" s="24" t="str">
        <x:v>Interpretation</x:v>
      </x:c>
      <x:c r="J20" s="23" t="str">
        <x:v>Since 9.95 &gt; 2.15, the station effect is significant.</x:v>
      </x:c>
      <x:c r="K20" s="23"/>
      <x:c r="L20" s="23"/>
      <x:c r="M20" s="23"/>
      <x:c r="N20" s="23"/>
    </x:row>
    <x:row r="21" ht="40.283203125" hidden="0" customHeight="1">
      <x:c r="A21" s="22" t="str">
        <x:v>Grand Total</x:v>
      </x:c>
      <x:c r="B21" s="23" t="n">
        <x:v>4000</x:v>
      </x:c>
      <x:c r="C21" s="23"/>
      <x:c r="D21" s="23"/>
      <x:c r="E21" s="23"/>
      <x:c r="F21" s="23"/>
      <x:c r="G21" s="23"/>
      <x:c r="H21" s="23"/>
      <x:c r="I21" s="24" t="str">
        <x:v>Rater conclusion</x:v>
      </x:c>
      <x:c r="J21" s="23" t="str">
        <x:v>No significant difference between raters.</x:v>
      </x:c>
      <x:c r="K21" s="23"/>
      <x:c r="L21" s="23"/>
      <x:c r="M21" s="23"/>
      <x:c r="N21" s="23"/>
    </x:row>
    <x:row r="22" ht="53.7109375" hidden="0" customHeight="1">
      <x:c r="A22" s="22" t="str">
        <x:v>Raw Sum of Squares Σy²</x:v>
      </x:c>
      <x:c r="B22" s="23" t="n">
        <x:v>329948</x:v>
      </x:c>
      <x:c r="C22" s="23"/>
      <x:c r="D22" s="23"/>
      <x:c r="E22" s="23"/>
      <x:c r="F22" s="23"/>
      <x:c r="G22" s="23"/>
      <x:c r="H22" s="23"/>
      <x:c r="I22" s="24" t="str">
        <x:v>Station conclusion</x:v>
      </x:c>
      <x:c r="J22" s="23" t="str">
        <x:v>Significant difference between service stations.</x:v>
      </x:c>
      <x:c r="K22" s="23"/>
      <x:c r="L22" s="23"/>
      <x:c r="M22" s="23"/>
      <x:c r="N22" s="23"/>
    </x:row>
    <x:row r="23" ht="80.56640625" hidden="0" customHeight="1">
      <x:c r="A23" s="22" t="str">
        <x:v>Σ(row totals²)</x:v>
      </x:c>
      <x:c r="B23" s="23" t="n">
        <x:v>3204000</x:v>
      </x:c>
      <x:c r="C23" s="23"/>
      <x:c r="D23" s="23"/>
      <x:c r="E23" s="23"/>
      <x:c r="F23" s="23"/>
      <x:c r="G23" s="23"/>
      <x:c r="H23" s="23"/>
      <x:c r="I23" s="24" t="str">
        <x:v>Note</x:v>
      </x:c>
      <x:c r="J23" s="23" t="str">
        <x:v>The final ANOVA above is based on the handwritten summary values provided in the calculation page.</x:v>
      </x:c>
      <x:c r="K23" s="23"/>
      <x:c r="L23" s="23"/>
      <x:c r="M23" s="23"/>
      <x:c r="N23" s="23"/>
    </x:row>
    <x:row r="24" ht="15" hidden="0" customHeight="1">
      <x:c r="A24" s="22" t="str">
        <x:v>Σ(column totals²)</x:v>
      </x:c>
      <x:c r="B24" s="23" t="n">
        <x:v>1634050</x:v>
      </x:c>
      <x:c r="C24" s="23"/>
      <x:c r="D24" s="23"/>
      <x:c r="E24" s="23"/>
      <x:c r="F24" s="23"/>
      <x:c r="G24" s="23"/>
      <x:c r="H24" s="23"/>
      <x:c r="I24" s="23"/>
      <x:c r="J24" s="23"/>
      <x:c r="K24" s="23"/>
      <x:c r="L24" s="23"/>
      <x:c r="M24" s="23"/>
      <x:c r="N24" s="23"/>
    </x:row>
    <x:row r="25" ht="15" hidden="0" customHeight="1">
      <x:c r="A25" s="22" t="str">
        <x:v>Correction Factor</x:v>
      </x:c>
      <x:c r="B25" s="23" t="n">
        <x:f>POWER(B21,2)/B20</x:f>
        <x:v>320000</x:v>
      </x:c>
      <x:c r="C25" s="23"/>
      <x:c r="D25" s="23"/>
      <x:c r="E25" s="23"/>
      <x:c r="F25" s="23"/>
      <x:c r="G25" s="23"/>
      <x:c r="H25" s="23"/>
      <x:c r="I25" s="23"/>
      <x:c r="J25" s="23"/>
      <x:c r="K25" s="23"/>
      <x:c r="L25" s="23"/>
      <x:c r="M25" s="23"/>
      <x:c r="N25" s="23"/>
    </x:row>
    <x:row r="26" ht="15" hidden="0" customHeight="1">
      <x:c r="A26" s="21"/>
      <x:c r="B26" s="23"/>
      <x:c r="C26" s="23"/>
      <x:c r="D26" s="23"/>
      <x:c r="E26" s="23"/>
      <x:c r="F26" s="23"/>
      <x:c r="G26" s="23"/>
      <x:c r="H26" s="23"/>
      <x:c r="I26" s="23"/>
      <x:c r="J26" s="23"/>
      <x:c r="K26" s="23"/>
      <x:c r="L26" s="23"/>
      <x:c r="M26" s="23"/>
      <x:c r="N26" s="23"/>
    </x:row>
    <x:row r="27" ht="15" hidden="0" customHeight="1">
      <x:c r="A27" s="21"/>
      <x:c r="B27" s="23"/>
      <x:c r="C27" s="23"/>
      <x:c r="D27" s="23"/>
      <x:c r="E27" s="23"/>
      <x:c r="F27" s="23"/>
      <x:c r="G27" s="23"/>
      <x:c r="H27" s="23"/>
      <x:c r="I27" s="23"/>
      <x:c r="J27" s="23"/>
      <x:c r="K27" s="23"/>
      <x:c r="L27" s="23"/>
      <x:c r="M27" s="23"/>
      <x:c r="N27" s="23"/>
    </x:row>
    <x:row r="28" ht="15" hidden="0" customHeight="1">
      <x:c r="A28" s="22" t="str">
        <x:v>ANOVA Table</x:v>
      </x:c>
      <x:c r="B28" s="24" t="str"/>
      <x:c r="C28" s="24" t="str"/>
      <x:c r="D28" s="24" t="str"/>
      <x:c r="E28" s="24" t="str"/>
      <x:c r="F28" s="24" t="str"/>
      <x:c r="G28" s="24" t="str"/>
      <x:c r="H28" s="23"/>
      <x:c r="I28" s="23"/>
      <x:c r="J28" s="23"/>
      <x:c r="K28" s="23"/>
      <x:c r="L28" s="23"/>
      <x:c r="M28" s="23"/>
      <x:c r="N28" s="23"/>
    </x:row>
    <x:row r="29" ht="15" hidden="0" customHeight="1">
      <x:c r="A29" s="22" t="str">
        <x:v>Source of Variation</x:v>
      </x:c>
      <x:c r="B29" s="24" t="str">
        <x:v>df</x:v>
      </x:c>
      <x:c r="C29" s="24" t="str">
        <x:v>SS</x:v>
      </x:c>
      <x:c r="D29" s="24" t="str">
        <x:v>MSS</x:v>
      </x:c>
      <x:c r="E29" s="24" t="str">
        <x:v>F calculated</x:v>
      </x:c>
      <x:c r="F29" s="24" t="str">
        <x:v>p-value</x:v>
      </x:c>
      <x:c r="G29" s="24" t="str">
        <x:v>Decision</x:v>
      </x:c>
      <x:c r="H29" s="23"/>
      <x:c r="I29" s="23"/>
      <x:c r="J29" s="23"/>
      <x:c r="K29" s="23"/>
      <x:c r="L29" s="23"/>
      <x:c r="M29" s="23"/>
      <x:c r="N29" s="23"/>
    </x:row>
    <x:row r="30" ht="15" hidden="0" customHeight="1">
      <x:c r="A30" s="21" t="str">
        <x:v>Raters</x:v>
      </x:c>
      <x:c r="B30" s="23" t="n">
        <x:f>B18-1</x:f>
        <x:v>4</x:v>
      </x:c>
      <x:c r="C30" s="23" t="n">
        <x:f>B23/B19-B25</x:f>
        <x:v>400</x:v>
      </x:c>
      <x:c r="D30" s="23" t="n">
        <x:f>C30/B30</x:f>
        <x:v>100</x:v>
      </x:c>
      <x:c r="E30" s="23" t="n">
        <x:f>D30/$D$32</x:f>
        <x:v>1.3148283418553688</x:v>
      </x:c>
      <x:c r="F30" s="23" t="n">
        <x:f>F.DIST.RT(E30,B30,$B$32)</x:f>
        <x:v>0.2830301315844471</x:v>
      </x:c>
      <x:c r="G30" s="23" t="str">
        <x:f>IF(F30&lt;0.05,"Significant","Not significant")</x:f>
        <x:v>Not significant</x:v>
      </x:c>
      <x:c r="H30" s="23"/>
      <x:c r="I30" s="23"/>
      <x:c r="J30" s="23"/>
      <x:c r="K30" s="23"/>
      <x:c r="L30" s="23"/>
      <x:c r="M30" s="23"/>
      <x:c r="N30" s="23"/>
    </x:row>
    <x:row r="31" ht="15" hidden="0" customHeight="1">
      <x:c r="A31" s="21" t="str">
        <x:v>Service Stations</x:v>
      </x:c>
      <x:c r="B31" s="23" t="n">
        <x:f>B19-1</x:f>
        <x:v>9</x:v>
      </x:c>
      <x:c r="C31" s="23" t="n">
        <x:f>B24/B18-B25</x:f>
        <x:v>6810</x:v>
      </x:c>
      <x:c r="D31" s="23" t="n">
        <x:f>C31/B31</x:f>
        <x:v>756.6666666666666</x:v>
      </x:c>
      <x:c r="E31" s="23" t="n">
        <x:f>D31/$D$32</x:f>
        <x:v>9.948867786705623</x:v>
      </x:c>
      <x:c r="F31" s="23" t="n">
        <x:f>F.DIST.RT(E31,B31,$B$32)</x:f>
        <x:v>1.8170977844622627e-7</x:v>
      </x:c>
      <x:c r="G31" s="23" t="str">
        <x:f>IF(F31&lt;0.05,"Significant","Not significant")</x:f>
        <x:v>Significant</x:v>
      </x:c>
      <x:c r="H31" s="23"/>
      <x:c r="I31" s="23"/>
      <x:c r="J31" s="23"/>
      <x:c r="K31" s="23"/>
      <x:c r="L31" s="23"/>
      <x:c r="M31" s="23"/>
      <x:c r="N31" s="23"/>
    </x:row>
    <x:row r="32" ht="15" hidden="0" customHeight="1">
      <x:c r="A32" s="21" t="str">
        <x:v>Error</x:v>
      </x:c>
      <x:c r="B32" s="23" t="n">
        <x:f>(B18-1)*(B19-1)</x:f>
        <x:v>36</x:v>
      </x:c>
      <x:c r="C32" s="23" t="n">
        <x:f>C33-C30-C31</x:f>
        <x:v>2738</x:v>
      </x:c>
      <x:c r="D32" s="23" t="n">
        <x:f>C32/B32</x:f>
        <x:v>76.05555555555556</x:v>
      </x:c>
      <x:c r="E32" s="23" t="str"/>
      <x:c r="F32" s="23" t="str"/>
      <x:c r="G32" s="23" t="str"/>
      <x:c r="H32" s="23"/>
      <x:c r="I32" s="23"/>
      <x:c r="J32" s="23"/>
      <x:c r="K32" s="23"/>
      <x:c r="L32" s="23"/>
      <x:c r="M32" s="23"/>
      <x:c r="N32" s="23"/>
    </x:row>
    <x:row r="33" ht="15" hidden="0" customHeight="1">
      <x:c r="A33" s="21" t="str">
        <x:v>Total</x:v>
      </x:c>
      <x:c r="B33" s="23" t="n">
        <x:f>B20-1</x:f>
        <x:v>49</x:v>
      </x:c>
      <x:c r="C33" s="23" t="n">
        <x:f>B22-B25</x:f>
        <x:v>9948</x:v>
      </x:c>
      <x:c r="D33" s="23" t="str"/>
      <x:c r="E33" s="23" t="str"/>
      <x:c r="F33" s="23" t="str"/>
      <x:c r="G33" s="23" t="str"/>
      <x:c r="H33" s="23"/>
      <x:c r="I33" s="23"/>
      <x:c r="J33" s="23"/>
      <x:c r="K33" s="23"/>
      <x:c r="L33" s="23"/>
      <x:c r="M33" s="23"/>
      <x:c r="N33" s="23"/>
    </x:row>
    <x:row r="34" ht="15" hidden="0" customHeight="1">
      <x:c r="A34" s="21"/>
      <x:c r="B34" s="23"/>
      <x:c r="C34" s="23"/>
      <x:c r="D34" s="23"/>
      <x:c r="E34" s="23"/>
      <x:c r="F34" s="23"/>
      <x:c r="G34" s="23"/>
      <x:c r="H34" s="23"/>
      <x:c r="I34" s="23"/>
      <x:c r="J34" s="23"/>
      <x:c r="K34" s="23"/>
      <x:c r="L34" s="23"/>
      <x:c r="M34" s="23"/>
      <x:c r="N34" s="23"/>
    </x:row>
    <x:row r="35" ht="15" hidden="0" customHeight="1">
      <x:c r="A35" s="21"/>
      <x:c r="B35" s="23"/>
      <x:c r="C35" s="23"/>
      <x:c r="D35" s="23"/>
      <x:c r="E35" s="23"/>
      <x:c r="F35" s="23"/>
      <x:c r="G35" s="23"/>
      <x:c r="H35" s="23"/>
      <x:c r="I35" s="23"/>
      <x:c r="J35" s="23"/>
      <x:c r="K35" s="23"/>
      <x:c r="L35" s="23"/>
      <x:c r="M35" s="23"/>
      <x:c r="N35" s="23"/>
    </x:row>
    <x:row r="36" ht="22" hidden="0" customHeight="1">
      <x:c r="A36" s="22" t="str">
        <x:v>Section 2: Written Practical Content</x:v>
      </x:c>
      <x:c r="B36" s="24" t="str"/>
      <x:c r="C36" s="24"/>
      <x:c r="D36" s="24"/>
      <x:c r="E36" s="24"/>
      <x:c r="F36" s="24"/>
      <x:c r="G36" s="24"/>
      <x:c r="H36" s="24"/>
      <x:c r="I36" s="24"/>
      <x:c r="J36" s="24"/>
      <x:c r="K36" s="24"/>
      <x:c r="L36" s="24"/>
      <x:c r="M36" s="24"/>
      <x:c r="N36" s="23"/>
    </x:row>
    <x:row r="37" ht="35" hidden="0" customHeight="1">
      <x:c r="A37" s="22" t="str">
        <x:v>Aim</x:v>
      </x:c>
      <x:c r="B37" s="23" t="str">
        <x:v>To analyze variance of two-way classified data with one observation per cell.</x:v>
      </x:c>
      <x:c r="C37" s="23"/>
      <x:c r="D37" s="23"/>
      <x:c r="E37" s="23"/>
      <x:c r="F37" s="23"/>
      <x:c r="G37" s="23"/>
      <x:c r="H37" s="23"/>
      <x:c r="I37" s="23"/>
      <x:c r="J37" s="23"/>
      <x:c r="K37" s="23"/>
      <x:c r="L37" s="23"/>
      <x:c r="M37" s="23"/>
      <x:c r="N37" s="23"/>
    </x:row>
    <x:row r="38" ht="55" hidden="0" customHeight="1">
      <x:c r="A38" s="22" t="str">
        <x:v>Experiment</x:v>
      </x:c>
      <x:c r="B38" s="23" t="str">
        <x:v>The table gives quality ratings of service stations by five professional raters. The objective is to test whether there is any significant difference between raters and between service stations.</x:v>
      </x:c>
      <x:c r="C38" s="23"/>
      <x:c r="D38" s="23"/>
      <x:c r="E38" s="23"/>
      <x:c r="F38" s="23"/>
      <x:c r="G38" s="23"/>
      <x:c r="H38" s="23"/>
      <x:c r="I38" s="23"/>
      <x:c r="J38" s="23"/>
      <x:c r="K38" s="23"/>
      <x:c r="L38" s="23"/>
      <x:c r="M38" s="23"/>
      <x:c r="N38" s="23"/>
    </x:row>
    <x:row r="39" ht="80" hidden="0" customHeight="1">
      <x:c r="A39" s="22" t="str">
        <x:v>Theory &amp; Formula</x:v>
      </x:c>
      <x:c r="B39" s="23" t="str">
        <x:v>Two-way ANOVA without replication is used when observations are classified by two factors. Correction Factor = G^2/N. Total SS = Σy² − CF. Row SS = Σ(row total²)/c − CF. Column SS = Σ(column total²)/r − CF. Error SS = Total SS − Row SS − Column SS.</x:v>
      </x:c>
      <x:c r="C39" s="23"/>
      <x:c r="D39" s="23"/>
      <x:c r="E39" s="23"/>
      <x:c r="F39" s="23"/>
      <x:c r="G39" s="23"/>
      <x:c r="H39" s="23"/>
      <x:c r="I39" s="23"/>
      <x:c r="J39" s="23"/>
      <x:c r="K39" s="23"/>
      <x:c r="L39" s="23"/>
      <x:c r="M39" s="23"/>
      <x:c r="N39" s="23"/>
    </x:row>
    <x:row r="40" ht="80" hidden="0" customHeight="1">
      <x:c r="A40" s="22" t="str">
        <x:v>Calculation Steps</x:v>
      </x:c>
      <x:c r="B40" s="23" t="str">
        <x:v>Enter the rating data in the table. Calculate row and column totals using SUM. Use the summary values provided in the practical to calculate CF, Total SS, Row SS, Column SS, Error SS, MSS and F ratios using Excel formulas.</x:v>
      </x:c>
      <x:c r="C40" s="23"/>
      <x:c r="D40" s="23"/>
      <x:c r="E40" s="23"/>
      <x:c r="F40" s="23"/>
      <x:c r="G40" s="23"/>
      <x:c r="H40" s="23"/>
      <x:c r="I40" s="23"/>
      <x:c r="J40" s="23"/>
      <x:c r="K40" s="23"/>
      <x:c r="L40" s="23"/>
      <x:c r="M40" s="23"/>
      <x:c r="N40" s="23"/>
    </x:row>
    <x:row r="41" ht="40" hidden="0" customHeight="1">
      <x:c r="A41" s="22" t="str">
        <x:v>Result</x:v>
      </x:c>
      <x:c r="B41" s="23" t="str">
        <x:v>For service stations, F calculated is greater than the 5% tabulated value, so the service-station effect is significant. The rater effect is not significant.</x:v>
      </x:c>
      <x:c r="C41" s="23"/>
      <x:c r="D41" s="23"/>
      <x:c r="E41" s="23"/>
      <x:c r="F41" s="23"/>
      <x:c r="G41" s="23"/>
      <x:c r="H41" s="23"/>
      <x:c r="I41" s="23"/>
      <x:c r="J41" s="23"/>
      <x:c r="K41" s="23"/>
      <x:c r="L41" s="23"/>
      <x:c r="M41" s="23"/>
      <x:c r="N41" s="23"/>
    </x:row>
    <x:row r="42" ht="45" hidden="0" customHeight="1">
      <x:c r="A42" s="22" t="str">
        <x:v>Conclusion</x:v>
      </x:c>
      <x:c r="B42" s="23" t="str">
        <x:v>There is a significant difference between service stations, but there is no significant difference between raters.</x:v>
      </x:c>
      <x:c r="C42" s="23"/>
      <x:c r="D42" s="23"/>
      <x:c r="E42" s="23"/>
      <x:c r="F42" s="23"/>
      <x:c r="G42" s="23"/>
      <x:c r="H42" s="23"/>
      <x:c r="I42" s="23"/>
      <x:c r="J42" s="23"/>
      <x:c r="K42" s="23"/>
      <x:c r="L42" s="23"/>
      <x:c r="M42" s="23"/>
      <x:c r="N42" s="23"/>
    </x:row>
    <x:row r="43" ht="15" hidden="0" customHeight="1">
      <x:c r="A43" s="22"/>
      <x:c r="B43" s="23"/>
      <x:c r="C43" s="23"/>
      <x:c r="D43" s="23"/>
      <x:c r="E43" s="23"/>
      <x:c r="F43" s="23"/>
      <x:c r="G43" s="23"/>
      <x:c r="H43" s="23"/>
      <x:c r="I43" s="23"/>
      <x:c r="J43" s="23"/>
      <x:c r="K43" s="23"/>
      <x:c r="L43" s="23"/>
      <x:c r="M43" s="23"/>
      <x:c r="N43" s="23"/>
    </x:row>
    <x:row r="44" ht="15" hidden="0" customHeight="1">
      <x:c r="A44" s="22"/>
      <x:c r="B44" s="23"/>
      <x:c r="C44" s="23"/>
      <x:c r="D44" s="23"/>
      <x:c r="E44" s="23"/>
      <x:c r="F44" s="23"/>
      <x:c r="G44" s="23"/>
      <x:c r="H44" s="23"/>
      <x:c r="I44" s="23"/>
      <x:c r="J44" s="23"/>
      <x:c r="K44" s="23"/>
      <x:c r="L44" s="23"/>
      <x:c r="M44" s="23"/>
      <x:c r="N44" s="23"/>
    </x:row>
    <x:row r="45" ht="15" hidden="0" customHeight="1">
      <x:c r="A45" s="22"/>
      <x:c r="B45" s="23"/>
      <x:c r="C45" s="23"/>
      <x:c r="D45" s="23"/>
      <x:c r="E45" s="23"/>
      <x:c r="F45" s="23"/>
      <x:c r="G45" s="23"/>
      <x:c r="H45" s="23"/>
      <x:c r="I45" s="23"/>
      <x:c r="J45" s="23"/>
      <x:c r="K45" s="23"/>
      <x:c r="L45" s="23"/>
      <x:c r="M45" s="23"/>
      <x:c r="N45" s="23"/>
    </x:row>
    <x:row r="46" ht="15" hidden="0" customHeight="1">
      <x:c r="A46" s="22"/>
      <x:c r="B46" s="23"/>
      <x:c r="C46" s="23"/>
      <x:c r="D46" s="23"/>
      <x:c r="E46" s="23"/>
      <x:c r="F46" s="23"/>
      <x:c r="G46" s="23"/>
      <x:c r="H46" s="23"/>
      <x:c r="I46" s="23"/>
      <x:c r="J46" s="23"/>
      <x:c r="K46" s="23"/>
      <x:c r="L46" s="23"/>
      <x:c r="M46" s="23"/>
      <x:c r="N46" s="23"/>
    </x:row>
    <x:row r="47" ht="15" hidden="0" customHeight="1">
      <x:c r="A47" s="22"/>
      <x:c r="B47" s="23"/>
      <x:c r="C47" s="23"/>
      <x:c r="D47" s="23"/>
      <x:c r="E47" s="23"/>
      <x:c r="F47" s="23"/>
      <x:c r="G47" s="23"/>
      <x:c r="H47" s="23"/>
      <x:c r="I47" s="23"/>
      <x:c r="J47" s="23"/>
      <x:c r="K47" s="23"/>
      <x:c r="L47" s="23"/>
      <x:c r="M47" s="23"/>
      <x:c r="N47" s="23"/>
    </x:row>
    <x:row r="48" ht="15" hidden="0" customHeight="1">
      <x:c r="A48" s="22"/>
      <x:c r="B48" s="23"/>
      <x:c r="C48" s="23"/>
      <x:c r="D48" s="23"/>
      <x:c r="E48" s="23"/>
      <x:c r="F48" s="23"/>
      <x:c r="G48" s="23"/>
      <x:c r="H48" s="23"/>
      <x:c r="I48" s="23"/>
      <x:c r="J48" s="23"/>
      <x:c r="K48" s="23"/>
      <x:c r="L48" s="23"/>
      <x:c r="M48" s="23"/>
      <x:c r="N48" s="23"/>
    </x:row>
    <x:row r="49" ht="15" hidden="0" customHeight="1">
      <x:c r="A49" s="22"/>
      <x:c r="B49" s="23"/>
      <x:c r="C49" s="23"/>
      <x:c r="D49" s="23"/>
      <x:c r="E49" s="23"/>
      <x:c r="F49" s="23"/>
      <x:c r="G49" s="23"/>
      <x:c r="H49" s="23"/>
      <x:c r="I49" s="23"/>
      <x:c r="J49" s="23"/>
      <x:c r="K49" s="23"/>
      <x:c r="L49" s="23"/>
      <x:c r="M49" s="23"/>
      <x:c r="N49" s="23"/>
    </x:row>
    <x:row r="50" ht="15" hidden="0" customHeight="1">
      <x:c r="A50" s="22"/>
      <x:c r="B50" s="23"/>
      <x:c r="C50" s="23"/>
      <x:c r="D50" s="23"/>
      <x:c r="E50" s="23"/>
      <x:c r="F50" s="23"/>
      <x:c r="G50" s="23"/>
      <x:c r="H50" s="23"/>
      <x:c r="I50" s="23"/>
      <x:c r="J50" s="23"/>
      <x:c r="K50" s="23"/>
      <x:c r="L50" s="23"/>
      <x:c r="M50" s="23"/>
      <x:c r="N50" s="23"/>
    </x:row>
    <x:row r="51" ht="15" hidden="0" customHeight="1">
      <x:c r="A51" s="22"/>
      <x:c r="B51" s="23"/>
      <x:c r="C51" s="23"/>
      <x:c r="D51" s="23"/>
      <x:c r="E51" s="23"/>
      <x:c r="F51" s="23"/>
      <x:c r="G51" s="23"/>
      <x:c r="H51" s="23"/>
      <x:c r="I51" s="23"/>
      <x:c r="J51" s="23"/>
      <x:c r="K51" s="23"/>
      <x:c r="L51" s="23"/>
      <x:c r="M51" s="23"/>
      <x:c r="N51" s="23"/>
    </x:row>
    <x:row r="52" ht="15" hidden="0" customHeight="1">
      <x:c r="A52" s="22"/>
      <x:c r="B52" s="23"/>
      <x:c r="C52" s="23"/>
      <x:c r="D52" s="23"/>
      <x:c r="E52" s="23"/>
      <x:c r="F52" s="23"/>
      <x:c r="G52" s="23"/>
      <x:c r="H52" s="23"/>
      <x:c r="I52" s="23"/>
      <x:c r="J52" s="23"/>
      <x:c r="K52" s="23"/>
      <x:c r="L52" s="23"/>
      <x:c r="M52" s="23"/>
      <x:c r="N52" s="23"/>
    </x:row>
    <x:row r="53" ht="15" hidden="0" customHeight="1">
      <x:c r="A53" s="22"/>
      <x:c r="B53" s="23"/>
      <x:c r="C53" s="23"/>
      <x:c r="D53" s="23"/>
      <x:c r="E53" s="23"/>
      <x:c r="F53" s="23"/>
      <x:c r="G53" s="23"/>
      <x:c r="H53" s="23"/>
      <x:c r="I53" s="23"/>
      <x:c r="J53" s="23"/>
      <x:c r="K53" s="23"/>
      <x:c r="L53" s="23"/>
      <x:c r="M53" s="23"/>
      <x:c r="N53" s="23"/>
    </x:row>
    <x:row r="54" ht="15" hidden="0" customHeight="1">
      <x:c r="A54" s="22"/>
      <x:c r="B54" s="23"/>
      <x:c r="C54" s="23"/>
      <x:c r="D54" s="23"/>
      <x:c r="E54" s="23"/>
      <x:c r="F54" s="23"/>
      <x:c r="G54" s="23"/>
      <x:c r="H54" s="23"/>
      <x:c r="I54" s="23"/>
      <x:c r="J54" s="23"/>
      <x:c r="K54" s="23"/>
      <x:c r="L54" s="23"/>
      <x:c r="M54" s="23"/>
      <x:c r="N54" s="23"/>
    </x:row>
    <x:row r="55" ht="15" hidden="0" customHeight="1">
      <x:c r="A55" s="21"/>
      <x:c r="B55" s="23"/>
      <x:c r="C55" s="23"/>
      <x:c r="D55" s="23"/>
      <x:c r="E55" s="23"/>
      <x:c r="F55" s="23"/>
      <x:c r="G55" s="23"/>
      <x:c r="H55" s="23"/>
      <x:c r="I55" s="23"/>
      <x:c r="J55" s="23"/>
      <x:c r="K55" s="23"/>
      <x:c r="L55" s="23"/>
      <x:c r="M55" s="23"/>
      <x:c r="N55" s="23"/>
    </x:row>
    <x:row r="56" ht="15" hidden="0" customHeight="1">
      <x:c r="A56" s="21"/>
      <x:c r="B56" s="23"/>
      <x:c r="C56" s="23"/>
      <x:c r="D56" s="23"/>
      <x:c r="E56" s="23"/>
      <x:c r="F56" s="23"/>
      <x:c r="G56" s="23"/>
      <x:c r="H56" s="23"/>
      <x:c r="I56" s="23"/>
      <x:c r="J56" s="23"/>
      <x:c r="K56" s="23"/>
      <x:c r="L56" s="23"/>
      <x:c r="M56" s="23"/>
      <x:c r="N56" s="23"/>
    </x:row>
    <x:row r="57" ht="15" hidden="0" customHeight="1">
      <x:c r="A57" s="21"/>
      <x:c r="B57" s="23"/>
      <x:c r="C57" s="23"/>
      <x:c r="D57" s="23"/>
      <x:c r="E57" s="23"/>
      <x:c r="F57" s="23"/>
      <x:c r="G57" s="23"/>
      <x:c r="H57" s="23"/>
      <x:c r="I57" s="23"/>
      <x:c r="J57" s="23"/>
      <x:c r="K57" s="23"/>
      <x:c r="L57" s="23"/>
      <x:c r="M57" s="23"/>
      <x:c r="N57" s="23"/>
    </x:row>
    <x:row r="58" ht="15" hidden="0" customHeight="1">
      <x:c r="A58" s="21"/>
      <x:c r="B58" s="23"/>
      <x:c r="C58" s="23"/>
      <x:c r="D58" s="23"/>
      <x:c r="E58" s="23"/>
      <x:c r="F58" s="23"/>
      <x:c r="G58" s="23"/>
      <x:c r="H58" s="23"/>
      <x:c r="I58" s="23"/>
      <x:c r="J58" s="23"/>
      <x:c r="K58" s="23"/>
      <x:c r="L58" s="23"/>
      <x:c r="M58" s="23"/>
      <x:c r="N58" s="23"/>
    </x:row>
    <x:row r="59" ht="15" hidden="0" customHeight="1">
      <x:c r="A59" s="21"/>
      <x:c r="B59" s="23"/>
      <x:c r="C59" s="23"/>
      <x:c r="D59" s="23"/>
      <x:c r="E59" s="23"/>
      <x:c r="F59" s="23"/>
      <x:c r="G59" s="23"/>
      <x:c r="H59" s="23"/>
      <x:c r="I59" s="23"/>
      <x:c r="J59" s="23"/>
      <x:c r="K59" s="23"/>
      <x:c r="L59" s="23"/>
      <x:c r="M59" s="23"/>
      <x:c r="N59" s="23"/>
    </x:row>
    <x:row r="60" ht="15" hidden="0" customHeight="1">
      <x:c r="A60" s="21"/>
      <x:c r="B60" s="23"/>
      <x:c r="C60" s="23"/>
      <x:c r="D60" s="23"/>
      <x:c r="E60" s="23"/>
      <x:c r="F60" s="23"/>
      <x:c r="G60" s="23"/>
      <x:c r="H60" s="23"/>
      <x:c r="I60" s="23"/>
      <x:c r="J60" s="23"/>
      <x:c r="K60" s="23"/>
      <x:c r="L60" s="23"/>
      <x:c r="M60" s="23"/>
      <x:c r="N60" s="23"/>
    </x:row>
    <x:row r="61" ht="15" hidden="0" customHeight="1">
      <x:c r="A61" s="21"/>
      <x:c r="B61" s="23"/>
      <x:c r="C61" s="23"/>
      <x:c r="D61" s="23"/>
      <x:c r="E61" s="23"/>
      <x:c r="F61" s="23"/>
      <x:c r="G61" s="23"/>
      <x:c r="H61" s="23"/>
      <x:c r="I61" s="23"/>
      <x:c r="J61" s="23"/>
      <x:c r="K61" s="23"/>
      <x:c r="L61" s="23"/>
      <x:c r="M61" s="23"/>
      <x:c r="N61" s="23"/>
    </x:row>
    <x:row r="62" ht="15" hidden="0" customHeight="1">
      <x:c r="A62" s="21"/>
      <x:c r="B62" s="23"/>
      <x:c r="C62" s="23"/>
      <x:c r="D62" s="23"/>
      <x:c r="E62" s="23"/>
      <x:c r="F62" s="23"/>
      <x:c r="G62" s="23"/>
      <x:c r="H62" s="23"/>
      <x:c r="I62" s="23"/>
      <x:c r="J62" s="23"/>
      <x:c r="K62" s="23"/>
      <x:c r="L62" s="23"/>
      <x:c r="M62" s="23"/>
      <x:c r="N62" s="23"/>
    </x:row>
    <x:row r="63" ht="15" hidden="0" customHeight="1">
      <x:c r="A63" s="21"/>
      <x:c r="B63" s="23"/>
      <x:c r="C63" s="23"/>
      <x:c r="D63" s="23"/>
      <x:c r="E63" s="23"/>
      <x:c r="F63" s="23"/>
      <x:c r="G63" s="23"/>
      <x:c r="H63" s="23"/>
      <x:c r="I63" s="23"/>
      <x:c r="J63" s="23"/>
      <x:c r="K63" s="23"/>
      <x:c r="L63" s="23"/>
      <x:c r="M63" s="23"/>
      <x:c r="N63" s="23"/>
    </x:row>
    <x:row r="64" ht="15" hidden="0" customHeight="1">
      <x:c r="A64" s="21"/>
      <x:c r="B64" s="23"/>
      <x:c r="C64" s="23"/>
      <x:c r="D64" s="23"/>
      <x:c r="E64" s="23"/>
      <x:c r="F64" s="23"/>
      <x:c r="G64" s="23"/>
      <x:c r="H64" s="23"/>
      <x:c r="I64" s="23"/>
      <x:c r="J64" s="23"/>
      <x:c r="K64" s="23"/>
      <x:c r="L64" s="23"/>
      <x:c r="M64" s="23"/>
      <x:c r="N64" s="23"/>
    </x:row>
    <x:row r="65" ht="15" hidden="0" customHeight="1">
      <x:c r="A65" s="21"/>
      <x:c r="B65" s="23"/>
      <x:c r="C65" s="23"/>
      <x:c r="D65" s="23"/>
      <x:c r="E65" s="23"/>
      <x:c r="F65" s="23"/>
      <x:c r="G65" s="23"/>
      <x:c r="H65" s="23"/>
      <x:c r="I65" s="23"/>
      <x:c r="J65" s="23"/>
      <x:c r="K65" s="23"/>
      <x:c r="L65" s="23"/>
      <x:c r="M65" s="23"/>
      <x:c r="N65" s="23"/>
    </x:row>
    <x:row r="66" ht="15" hidden="0" customHeight="1">
      <x:c r="A66" s="21"/>
      <x:c r="B66" s="23"/>
      <x:c r="C66" s="23"/>
      <x:c r="D66" s="23"/>
      <x:c r="E66" s="23"/>
      <x:c r="F66" s="23"/>
      <x:c r="G66" s="23"/>
      <x:c r="H66" s="23"/>
      <x:c r="I66" s="23"/>
      <x:c r="J66" s="23"/>
      <x:c r="K66" s="23"/>
      <x:c r="L66" s="23"/>
      <x:c r="M66" s="23"/>
      <x:c r="N66" s="23"/>
    </x:row>
    <x:row r="67" ht="15" hidden="0" customHeight="1">
      <x:c r="A67" s="21"/>
      <x:c r="B67" s="23"/>
      <x:c r="C67" s="23"/>
      <x:c r="D67" s="23"/>
      <x:c r="E67" s="23"/>
      <x:c r="F67" s="23"/>
      <x:c r="G67" s="23"/>
      <x:c r="H67" s="23"/>
      <x:c r="I67" s="23"/>
      <x:c r="J67" s="23"/>
      <x:c r="K67" s="23"/>
      <x:c r="L67" s="23"/>
      <x:c r="M67" s="23"/>
      <x:c r="N67" s="23"/>
    </x:row>
    <x:row r="68" ht="15" hidden="0" customHeight="1">
      <x:c r="A68" s="21"/>
      <x:c r="B68" s="23"/>
      <x:c r="C68" s="23"/>
      <x:c r="D68" s="23"/>
      <x:c r="E68" s="23"/>
      <x:c r="F68" s="23"/>
      <x:c r="G68" s="23"/>
      <x:c r="H68" s="23"/>
      <x:c r="I68" s="23"/>
      <x:c r="J68" s="23"/>
      <x:c r="K68" s="23"/>
      <x:c r="L68" s="23"/>
      <x:c r="M68" s="23"/>
      <x:c r="N68" s="23"/>
    </x:row>
    <x:row r="69" ht="15" hidden="0" customHeight="1">
      <x:c r="A69" s="21"/>
      <x:c r="B69" s="23"/>
      <x:c r="C69" s="23"/>
      <x:c r="D69" s="23"/>
      <x:c r="E69" s="23"/>
      <x:c r="F69" s="23"/>
      <x:c r="G69" s="23"/>
      <x:c r="H69" s="23"/>
      <x:c r="I69" s="23"/>
      <x:c r="J69" s="23"/>
      <x:c r="K69" s="23"/>
      <x:c r="L69" s="23"/>
      <x:c r="M69" s="23"/>
      <x:c r="N69" s="23"/>
    </x:row>
    <x:row r="70" ht="15" hidden="0" customHeight="1">
      <x:c r="A70" s="21"/>
      <x:c r="B70" s="23"/>
      <x:c r="C70" s="23"/>
      <x:c r="D70" s="23"/>
      <x:c r="E70" s="23"/>
      <x:c r="F70" s="23"/>
      <x:c r="G70" s="23"/>
      <x:c r="H70" s="23"/>
      <x:c r="I70" s="23"/>
      <x:c r="J70" s="23"/>
      <x:c r="K70" s="23"/>
      <x:c r="L70" s="23"/>
      <x:c r="M70" s="23"/>
      <x:c r="N70" s="23"/>
    </x:row>
    <x:row r="71" ht="15" hidden="0" customHeight="1">
      <x:c r="A71" s="21"/>
      <x:c r="B71" s="23"/>
      <x:c r="C71" s="23"/>
      <x:c r="D71" s="23"/>
      <x:c r="E71" s="23"/>
      <x:c r="F71" s="23"/>
      <x:c r="G71" s="23"/>
      <x:c r="H71" s="23"/>
      <x:c r="I71" s="23"/>
      <x:c r="J71" s="23"/>
      <x:c r="K71" s="23"/>
      <x:c r="L71" s="23"/>
      <x:c r="M71" s="23"/>
      <x:c r="N71" s="23"/>
    </x:row>
    <x:row r="72" ht="15" hidden="0" customHeight="1">
      <x:c r="A72" s="21"/>
      <x:c r="B72" s="23"/>
      <x:c r="C72" s="23"/>
      <x:c r="D72" s="23"/>
      <x:c r="E72" s="23"/>
      <x:c r="F72" s="23"/>
      <x:c r="G72" s="23"/>
      <x:c r="H72" s="23"/>
      <x:c r="I72" s="23"/>
      <x:c r="J72" s="23"/>
      <x:c r="K72" s="23"/>
      <x:c r="L72" s="23"/>
      <x:c r="M72" s="23"/>
      <x:c r="N72" s="23"/>
    </x:row>
    <x:row r="73" ht="15" hidden="0" customHeight="1">
      <x:c r="A73" s="21"/>
      <x:c r="B73" s="23"/>
      <x:c r="C73" s="23"/>
      <x:c r="D73" s="23"/>
      <x:c r="E73" s="23"/>
      <x:c r="F73" s="23"/>
      <x:c r="G73" s="23"/>
      <x:c r="H73" s="23"/>
      <x:c r="I73" s="23"/>
      <x:c r="J73" s="23"/>
      <x:c r="K73" s="23"/>
      <x:c r="L73" s="23"/>
      <x:c r="M73" s="23"/>
      <x:c r="N73" s="23"/>
    </x:row>
    <x:row r="74" ht="15" hidden="0" customHeight="1">
      <x:c r="A74" s="21"/>
      <x:c r="B74" s="23"/>
      <x:c r="C74" s="23"/>
      <x:c r="D74" s="23"/>
      <x:c r="E74" s="23"/>
      <x:c r="F74" s="23"/>
      <x:c r="G74" s="23"/>
      <x:c r="H74" s="23"/>
      <x:c r="I74" s="23"/>
      <x:c r="J74" s="23"/>
      <x:c r="K74" s="23"/>
      <x:c r="L74" s="23"/>
      <x:c r="M74" s="23"/>
      <x:c r="N74" s="23"/>
    </x:row>
    <x:row r="75" ht="15" hidden="0" customHeight="1">
      <x:c r="A75" s="21"/>
      <x:c r="B75" s="23"/>
      <x:c r="C75" s="23"/>
      <x:c r="D75" s="23"/>
      <x:c r="E75" s="23"/>
      <x:c r="F75" s="23"/>
      <x:c r="G75" s="23"/>
      <x:c r="H75" s="23"/>
      <x:c r="I75" s="23"/>
      <x:c r="J75" s="23"/>
      <x:c r="K75" s="23"/>
      <x:c r="L75" s="23"/>
      <x:c r="M75" s="23"/>
      <x:c r="N75" s="23"/>
    </x:row>
    <x:row r="76" ht="15" hidden="0" customHeight="1">
      <x:c r="A76" s="21"/>
      <x:c r="B76" s="23"/>
      <x:c r="C76" s="23"/>
      <x:c r="D76" s="23"/>
      <x:c r="E76" s="23"/>
      <x:c r="F76" s="23"/>
      <x:c r="G76" s="23"/>
      <x:c r="H76" s="23"/>
      <x:c r="I76" s="23"/>
      <x:c r="J76" s="23"/>
      <x:c r="K76" s="23"/>
      <x:c r="L76" s="23"/>
      <x:c r="M76" s="23"/>
      <x:c r="N76" s="23"/>
    </x:row>
    <x:row r="77" ht="15" hidden="0" customHeight="1">
      <x:c r="A77" s="21"/>
      <x:c r="B77" s="23"/>
      <x:c r="C77" s="23"/>
      <x:c r="D77" s="23"/>
      <x:c r="E77" s="23"/>
      <x:c r="F77" s="23"/>
      <x:c r="G77" s="23"/>
      <x:c r="H77" s="23"/>
      <x:c r="I77" s="23"/>
      <x:c r="J77" s="23"/>
      <x:c r="K77" s="23"/>
      <x:c r="L77" s="23"/>
      <x:c r="M77" s="23"/>
      <x:c r="N77" s="23"/>
    </x:row>
    <x:row r="78" ht="15" hidden="0" customHeight="1">
      <x:c r="A78" s="21"/>
      <x:c r="B78" s="23"/>
      <x:c r="C78" s="23"/>
      <x:c r="D78" s="23"/>
      <x:c r="E78" s="23"/>
      <x:c r="F78" s="23"/>
      <x:c r="G78" s="23"/>
      <x:c r="H78" s="23"/>
      <x:c r="I78" s="23"/>
      <x:c r="J78" s="23"/>
      <x:c r="K78" s="23"/>
      <x:c r="L78" s="23"/>
      <x:c r="M78" s="23"/>
      <x:c r="N78" s="23"/>
    </x:row>
    <x:row r="79" ht="15" hidden="0" customHeight="1">
      <x:c r="A79" s="21"/>
      <x:c r="B79" s="23"/>
      <x:c r="C79" s="23"/>
      <x:c r="D79" s="23"/>
      <x:c r="E79" s="23"/>
      <x:c r="F79" s="23"/>
      <x:c r="G79" s="23"/>
      <x:c r="H79" s="23"/>
      <x:c r="I79" s="23"/>
      <x:c r="J79" s="23"/>
      <x:c r="K79" s="23"/>
      <x:c r="L79" s="23"/>
      <x:c r="M79" s="23"/>
      <x:c r="N79" s="23"/>
    </x:row>
    <x:row r="80" ht="15" hidden="0" customHeight="1">
      <x:c r="A80" s="21"/>
      <x:c r="B80" s="23"/>
      <x:c r="C80" s="23"/>
      <x:c r="D80" s="23"/>
      <x:c r="E80" s="23"/>
      <x:c r="F80" s="23"/>
      <x:c r="G80" s="23"/>
      <x:c r="H80" s="23"/>
      <x:c r="I80" s="23"/>
      <x:c r="J80" s="23"/>
      <x:c r="K80" s="23"/>
      <x:c r="L80" s="23"/>
      <x:c r="M80" s="23"/>
      <x:c r="N80" s="23"/>
    </x:row>
    <x:row r="81" ht="15" hidden="0" customHeight="1">
      <x:c r="A81" s="21"/>
      <x:c r="B81" s="23"/>
      <x:c r="C81" s="23"/>
      <x:c r="D81" s="23"/>
      <x:c r="E81" s="23"/>
      <x:c r="F81" s="23"/>
      <x:c r="G81" s="23"/>
      <x:c r="H81" s="23"/>
      <x:c r="I81" s="23"/>
      <x:c r="J81" s="23"/>
      <x:c r="K81" s="23"/>
      <x:c r="L81" s="23"/>
      <x:c r="M81" s="23"/>
      <x:c r="N81" s="23"/>
    </x:row>
    <x:row r="82" ht="15" hidden="0" customHeight="1">
      <x:c r="A82" s="21"/>
      <x:c r="B82" s="23"/>
      <x:c r="C82" s="23"/>
      <x:c r="D82" s="23"/>
      <x:c r="E82" s="23"/>
      <x:c r="F82" s="23"/>
      <x:c r="G82" s="23"/>
      <x:c r="H82" s="23"/>
      <x:c r="I82" s="23"/>
      <x:c r="J82" s="23"/>
      <x:c r="K82" s="23"/>
      <x:c r="L82" s="23"/>
      <x:c r="M82" s="23"/>
      <x:c r="N82" s="23"/>
    </x:row>
    <x:row r="83" ht="15" hidden="0" customHeight="1">
      <x:c r="A83" s="21"/>
      <x:c r="B83" s="23"/>
      <x:c r="C83" s="23"/>
      <x:c r="D83" s="23"/>
      <x:c r="E83" s="23"/>
      <x:c r="F83" s="23"/>
      <x:c r="G83" s="23"/>
      <x:c r="H83" s="23"/>
      <x:c r="I83" s="23"/>
      <x:c r="J83" s="23"/>
      <x:c r="K83" s="23"/>
      <x:c r="L83" s="23"/>
      <x:c r="M83" s="23"/>
      <x:c r="N83" s="23"/>
    </x:row>
    <x:row r="84" ht="15" hidden="0" customHeight="1">
      <x:c r="A84" s="21"/>
      <x:c r="B84" s="23"/>
      <x:c r="C84" s="23"/>
      <x:c r="D84" s="23"/>
      <x:c r="E84" s="23"/>
      <x:c r="F84" s="23"/>
      <x:c r="G84" s="23"/>
      <x:c r="H84" s="23"/>
      <x:c r="I84" s="23"/>
      <x:c r="J84" s="23"/>
      <x:c r="K84" s="23"/>
      <x:c r="L84" s="23"/>
      <x:c r="M84" s="23"/>
      <x:c r="N84" s="23"/>
    </x:row>
    <x:row r="85" ht="15" hidden="0" customHeight="1">
      <x:c r="A85" s="21"/>
      <x:c r="B85" s="23"/>
      <x:c r="C85" s="23"/>
      <x:c r="D85" s="23"/>
      <x:c r="E85" s="23"/>
      <x:c r="F85" s="23"/>
      <x:c r="G85" s="23"/>
      <x:c r="H85" s="23"/>
      <x:c r="I85" s="23"/>
      <x:c r="J85" s="23"/>
      <x:c r="K85" s="23"/>
      <x:c r="L85" s="23"/>
      <x:c r="M85" s="23"/>
      <x:c r="N85" s="23"/>
    </x:row>
    <x:row r="86" ht="15" hidden="0" customHeight="1">
      <x:c r="A86" s="21"/>
      <x:c r="B86" s="23"/>
      <x:c r="C86" s="23"/>
      <x:c r="D86" s="23"/>
      <x:c r="E86" s="23"/>
      <x:c r="F86" s="23"/>
      <x:c r="G86" s="23"/>
      <x:c r="H86" s="23"/>
      <x:c r="I86" s="23"/>
      <x:c r="J86" s="23"/>
      <x:c r="K86" s="23"/>
      <x:c r="L86" s="23"/>
      <x:c r="M86" s="23"/>
      <x:c r="N86" s="23"/>
    </x:row>
    <x:row r="87" ht="15" hidden="0" customHeight="1">
      <x:c r="A87" s="21"/>
      <x:c r="B87" s="23"/>
      <x:c r="C87" s="23"/>
      <x:c r="D87" s="23"/>
      <x:c r="E87" s="23"/>
      <x:c r="F87" s="23"/>
      <x:c r="G87" s="23"/>
      <x:c r="H87" s="23"/>
      <x:c r="I87" s="23"/>
      <x:c r="J87" s="23"/>
      <x:c r="K87" s="23"/>
      <x:c r="L87" s="23"/>
      <x:c r="M87" s="23"/>
      <x:c r="N87" s="23"/>
    </x:row>
    <x:row r="88" ht="15" hidden="0" customHeight="1">
      <x:c r="A88" s="21"/>
      <x:c r="B88" s="23"/>
      <x:c r="C88" s="23"/>
      <x:c r="D88" s="23"/>
      <x:c r="E88" s="23"/>
      <x:c r="F88" s="23"/>
      <x:c r="G88" s="23"/>
      <x:c r="H88" s="23"/>
      <x:c r="I88" s="23"/>
      <x:c r="J88" s="23"/>
      <x:c r="K88" s="23"/>
      <x:c r="L88" s="23"/>
      <x:c r="M88" s="23"/>
      <x:c r="N88" s="23"/>
    </x:row>
    <x:row r="89" ht="15" hidden="0" customHeight="1">
      <x:c r="A89" s="21"/>
      <x:c r="B89" s="23"/>
      <x:c r="C89" s="23"/>
      <x:c r="D89" s="23"/>
      <x:c r="E89" s="23"/>
      <x:c r="F89" s="23"/>
      <x:c r="G89" s="23"/>
      <x:c r="H89" s="23"/>
      <x:c r="I89" s="23"/>
      <x:c r="J89" s="23"/>
      <x:c r="K89" s="23"/>
      <x:c r="L89" s="23"/>
      <x:c r="M89" s="23"/>
      <x:c r="N89" s="23"/>
    </x:row>
    <x:row r="90" ht="15" hidden="0" customHeight="1">
      <x:c r="A90" s="21"/>
      <x:c r="B90" s="23"/>
      <x:c r="C90" s="23"/>
      <x:c r="D90" s="23"/>
      <x:c r="E90" s="23"/>
      <x:c r="F90" s="23"/>
      <x:c r="G90" s="23"/>
      <x:c r="H90" s="23"/>
      <x:c r="I90" s="23"/>
      <x:c r="J90" s="23"/>
      <x:c r="K90" s="23"/>
      <x:c r="L90" s="23"/>
      <x:c r="M90" s="23"/>
      <x:c r="N90" s="23"/>
    </x:row>
    <x:row r="91" ht="15" hidden="0" customHeight="1">
      <x:c r="A91" s="21"/>
      <x:c r="B91" s="23"/>
      <x:c r="C91" s="23"/>
      <x:c r="D91" s="23"/>
      <x:c r="E91" s="23"/>
      <x:c r="F91" s="23"/>
      <x:c r="G91" s="23"/>
      <x:c r="H91" s="23"/>
      <x:c r="I91" s="23"/>
      <x:c r="J91" s="23"/>
      <x:c r="K91" s="23"/>
      <x:c r="L91" s="23"/>
      <x:c r="M91" s="23"/>
      <x:c r="N91" s="23"/>
    </x:row>
    <x:row r="92" ht="15" hidden="0" customHeight="1">
      <x:c r="A92" s="21"/>
      <x:c r="B92" s="23"/>
      <x:c r="C92" s="23"/>
      <x:c r="D92" s="23"/>
      <x:c r="E92" s="23"/>
      <x:c r="F92" s="23"/>
      <x:c r="G92" s="23"/>
      <x:c r="H92" s="23"/>
      <x:c r="I92" s="23"/>
      <x:c r="J92" s="23"/>
      <x:c r="K92" s="23"/>
      <x:c r="L92" s="23"/>
      <x:c r="M92" s="23"/>
      <x:c r="N92" s="23"/>
    </x:row>
    <x:row r="93" ht="15" hidden="0" customHeight="1">
      <x:c r="A93" s="21"/>
      <x:c r="B93" s="23"/>
      <x:c r="C93" s="23"/>
      <x:c r="D93" s="23"/>
      <x:c r="E93" s="23"/>
      <x:c r="F93" s="23"/>
      <x:c r="G93" s="23"/>
      <x:c r="H93" s="23"/>
      <x:c r="I93" s="23"/>
      <x:c r="J93" s="23"/>
      <x:c r="K93" s="23"/>
      <x:c r="L93" s="23"/>
      <x:c r="M93" s="23"/>
      <x:c r="N93" s="23"/>
    </x:row>
    <x:row r="94" ht="15" hidden="0" customHeight="1">
      <x:c r="A94" s="21"/>
      <x:c r="B94" s="23"/>
      <x:c r="C94" s="23"/>
      <x:c r="D94" s="23"/>
      <x:c r="E94" s="23"/>
      <x:c r="F94" s="23"/>
      <x:c r="G94" s="23"/>
      <x:c r="H94" s="23"/>
      <x:c r="I94" s="23"/>
      <x:c r="J94" s="23"/>
      <x:c r="K94" s="23"/>
      <x:c r="L94" s="23"/>
      <x:c r="M94" s="23"/>
      <x:c r="N94" s="23"/>
    </x:row>
    <x:row r="95" ht="15" hidden="0" customHeight="1">
      <x:c r="A95" s="21"/>
      <x:c r="B95" s="23"/>
      <x:c r="C95" s="23"/>
      <x:c r="D95" s="23"/>
      <x:c r="E95" s="23"/>
      <x:c r="F95" s="23"/>
      <x:c r="G95" s="23"/>
      <x:c r="H95" s="23"/>
      <x:c r="I95" s="23"/>
      <x:c r="J95" s="23"/>
      <x:c r="K95" s="23"/>
      <x:c r="L95" s="23"/>
      <x:c r="M95" s="23"/>
      <x:c r="N95" s="23"/>
    </x:row>
    <x:row r="96" ht="15" hidden="0" customHeight="1">
      <x:c r="A96" s="21"/>
      <x:c r="B96" s="23"/>
      <x:c r="C96" s="23"/>
      <x:c r="D96" s="23"/>
      <x:c r="E96" s="23"/>
      <x:c r="F96" s="23"/>
      <x:c r="G96" s="23"/>
      <x:c r="H96" s="23"/>
      <x:c r="I96" s="23"/>
      <x:c r="J96" s="23"/>
      <x:c r="K96" s="23"/>
      <x:c r="L96" s="23"/>
      <x:c r="M96" s="23"/>
      <x:c r="N96" s="23"/>
    </x:row>
    <x:row r="97" ht="15" hidden="0" customHeight="1">
      <x:c r="A97" s="21"/>
      <x:c r="B97" s="23"/>
      <x:c r="C97" s="23"/>
      <x:c r="D97" s="23"/>
      <x:c r="E97" s="23"/>
      <x:c r="F97" s="23"/>
      <x:c r="G97" s="23"/>
      <x:c r="H97" s="23"/>
      <x:c r="I97" s="23"/>
      <x:c r="J97" s="23"/>
      <x:c r="K97" s="23"/>
      <x:c r="L97" s="23"/>
      <x:c r="M97" s="23"/>
      <x:c r="N97" s="23"/>
    </x:row>
    <x:row r="98" ht="15" hidden="0" customHeight="1">
      <x:c r="A98" s="21"/>
      <x:c r="B98" s="23"/>
      <x:c r="C98" s="23"/>
      <x:c r="D98" s="23"/>
      <x:c r="E98" s="23"/>
      <x:c r="F98" s="23"/>
      <x:c r="G98" s="23"/>
      <x:c r="H98" s="23"/>
      <x:c r="I98" s="23"/>
      <x:c r="J98" s="23"/>
      <x:c r="K98" s="23"/>
      <x:c r="L98" s="23"/>
      <x:c r="M98" s="23"/>
      <x:c r="N98" s="23"/>
    </x:row>
    <x:row r="99" ht="15" hidden="0" customHeight="1">
      <x:c r="A99" s="21"/>
      <x:c r="B99" s="23"/>
      <x:c r="C99" s="23"/>
      <x:c r="D99" s="23"/>
      <x:c r="E99" s="23"/>
      <x:c r="F99" s="23"/>
      <x:c r="G99" s="23"/>
      <x:c r="H99" s="23"/>
      <x:c r="I99" s="23"/>
      <x:c r="J99" s="23"/>
      <x:c r="K99" s="23"/>
      <x:c r="L99" s="23"/>
      <x:c r="M99" s="23"/>
      <x:c r="N99" s="23"/>
    </x:row>
    <x:row r="100" ht="15" hidden="0" customHeight="1">
      <x:c r="A100" s="21"/>
      <x:c r="B100" s="23"/>
      <x:c r="C100" s="23"/>
      <x:c r="D100" s="23"/>
      <x:c r="E100" s="23"/>
      <x:c r="F100" s="23"/>
      <x:c r="G100" s="23"/>
      <x:c r="H100" s="23"/>
      <x:c r="I100" s="23"/>
      <x:c r="J100" s="23"/>
      <x:c r="K100" s="23"/>
      <x:c r="L100" s="23"/>
      <x:c r="M100" s="23"/>
      <x:c r="N100" s="23"/>
    </x:row>
    <x:row r="101" ht="15" hidden="0" customHeight="1">
      <x:c r="A101" s="21"/>
      <x:c r="B101" s="23"/>
      <x:c r="C101" s="23"/>
      <x:c r="D101" s="23"/>
      <x:c r="E101" s="23"/>
      <x:c r="F101" s="23"/>
      <x:c r="G101" s="23"/>
      <x:c r="H101" s="23"/>
      <x:c r="I101" s="23"/>
      <x:c r="J101" s="23"/>
      <x:c r="K101" s="23"/>
      <x:c r="L101" s="23"/>
      <x:c r="M101" s="23"/>
      <x:c r="N101" s="23"/>
    </x:row>
    <x:row r="102" ht="15" hidden="0" customHeight="1">
      <x:c r="A102" s="21"/>
      <x:c r="B102" s="23"/>
      <x:c r="C102" s="23"/>
      <x:c r="D102" s="23"/>
      <x:c r="E102" s="23"/>
      <x:c r="F102" s="23"/>
      <x:c r="G102" s="23"/>
      <x:c r="H102" s="23"/>
      <x:c r="I102" s="23"/>
      <x:c r="J102" s="23"/>
      <x:c r="K102" s="23"/>
      <x:c r="L102" s="23"/>
      <x:c r="M102" s="23"/>
      <x:c r="N102" s="23"/>
    </x:row>
    <x:row r="103" ht="15" hidden="0" customHeight="1">
      <x:c r="A103" s="21"/>
      <x:c r="B103" s="23"/>
      <x:c r="C103" s="23"/>
      <x:c r="D103" s="23"/>
      <x:c r="E103" s="23"/>
      <x:c r="F103" s="23"/>
      <x:c r="G103" s="23"/>
      <x:c r="H103" s="23"/>
      <x:c r="I103" s="23"/>
      <x:c r="J103" s="23"/>
      <x:c r="K103" s="23"/>
      <x:c r="L103" s="23"/>
      <x:c r="M103" s="23"/>
      <x:c r="N103" s="23"/>
    </x:row>
    <x:row r="104" ht="15" hidden="0" customHeight="1">
      <x:c r="A104" s="21"/>
      <x:c r="B104" s="23"/>
      <x:c r="C104" s="23"/>
      <x:c r="D104" s="23"/>
      <x:c r="E104" s="23"/>
      <x:c r="F104" s="23"/>
      <x:c r="G104" s="23"/>
      <x:c r="H104" s="23"/>
      <x:c r="I104" s="23"/>
      <x:c r="J104" s="23"/>
      <x:c r="K104" s="23"/>
      <x:c r="L104" s="23"/>
      <x:c r="M104" s="23"/>
      <x:c r="N104" s="23"/>
    </x:row>
    <x:row r="105" ht="15" hidden="0" customHeight="1">
      <x:c r="A105" s="21"/>
      <x:c r="B105" s="23"/>
      <x:c r="C105" s="23"/>
      <x:c r="D105" s="23"/>
      <x:c r="E105" s="23"/>
      <x:c r="F105" s="23"/>
      <x:c r="G105" s="23"/>
      <x:c r="H105" s="23"/>
      <x:c r="I105" s="23"/>
      <x:c r="J105" s="23"/>
      <x:c r="K105" s="23"/>
      <x:c r="L105" s="23"/>
      <x:c r="M105" s="23"/>
      <x:c r="N105" s="23"/>
    </x:row>
    <x:row r="106" ht="15" hidden="0" customHeight="1">
      <x:c r="A106" s="21"/>
      <x:c r="B106" s="23"/>
      <x:c r="C106" s="23"/>
      <x:c r="D106" s="23"/>
      <x:c r="E106" s="23"/>
      <x:c r="F106" s="23"/>
      <x:c r="G106" s="23"/>
      <x:c r="H106" s="23"/>
      <x:c r="I106" s="23"/>
      <x:c r="J106" s="23"/>
      <x:c r="K106" s="23"/>
      <x:c r="L106" s="23"/>
      <x:c r="M106" s="23"/>
      <x:c r="N106" s="23"/>
    </x:row>
    <x:row r="107" ht="15" hidden="0" customHeight="1">
      <x:c r="A107" s="21"/>
      <x:c r="B107" s="23"/>
      <x:c r="C107" s="23"/>
      <x:c r="D107" s="23"/>
      <x:c r="E107" s="23"/>
      <x:c r="F107" s="23"/>
      <x:c r="G107" s="23"/>
      <x:c r="H107" s="23"/>
      <x:c r="I107" s="23"/>
      <x:c r="J107" s="23"/>
      <x:c r="K107" s="23"/>
      <x:c r="L107" s="23"/>
      <x:c r="M107" s="23"/>
      <x:c r="N107" s="23"/>
    </x:row>
    <x:row r="108" ht="15" hidden="0" customHeight="1">
      <x:c r="A108" s="21"/>
      <x:c r="B108" s="23"/>
      <x:c r="C108" s="23"/>
      <x:c r="D108" s="23"/>
      <x:c r="E108" s="23"/>
      <x:c r="F108" s="23"/>
      <x:c r="G108" s="23"/>
      <x:c r="H108" s="23"/>
      <x:c r="I108" s="23"/>
      <x:c r="J108" s="23"/>
      <x:c r="K108" s="23"/>
      <x:c r="L108" s="23"/>
      <x:c r="M108" s="23"/>
      <x:c r="N108" s="23"/>
    </x:row>
    <x:row r="109" ht="15" hidden="0" customHeight="1">
      <x:c r="A109" s="21"/>
      <x:c r="B109" s="23"/>
      <x:c r="C109" s="23"/>
      <x:c r="D109" s="23"/>
      <x:c r="E109" s="23"/>
      <x:c r="F109" s="23"/>
      <x:c r="G109" s="23"/>
      <x:c r="H109" s="23"/>
      <x:c r="I109" s="23"/>
      <x:c r="J109" s="23"/>
      <x:c r="K109" s="23"/>
      <x:c r="L109" s="23"/>
      <x:c r="M109" s="23"/>
      <x:c r="N109" s="23"/>
    </x:row>
    <x:row r="110" ht="15" hidden="0" customHeight="1">
      <x:c r="A110" s="21"/>
      <x:c r="B110" s="23"/>
      <x:c r="C110" s="23"/>
      <x:c r="D110" s="23"/>
      <x:c r="E110" s="23"/>
      <x:c r="F110" s="23"/>
      <x:c r="G110" s="23"/>
      <x:c r="H110" s="23"/>
      <x:c r="I110" s="23"/>
      <x:c r="J110" s="23"/>
      <x:c r="K110" s="23"/>
      <x:c r="L110" s="23"/>
      <x:c r="M110" s="23"/>
      <x:c r="N110" s="23"/>
    </x:row>
    <x:row r="111" ht="15" hidden="0" customHeight="1">
      <x:c r="A111" s="21"/>
      <x:c r="B111" s="23"/>
      <x:c r="C111" s="23"/>
      <x:c r="D111" s="23"/>
      <x:c r="E111" s="23"/>
      <x:c r="F111" s="23"/>
      <x:c r="G111" s="23"/>
      <x:c r="H111" s="23"/>
      <x:c r="I111" s="23"/>
      <x:c r="J111" s="23"/>
      <x:c r="K111" s="23"/>
      <x:c r="L111" s="23"/>
      <x:c r="M111" s="23"/>
      <x:c r="N111" s="23"/>
    </x:row>
    <x:row r="112" ht="15" hidden="0" customHeight="1">
      <x:c r="A112" s="21"/>
      <x:c r="B112" s="23"/>
      <x:c r="C112" s="23"/>
      <x:c r="D112" s="23"/>
      <x:c r="E112" s="23"/>
      <x:c r="F112" s="23"/>
      <x:c r="G112" s="23"/>
      <x:c r="H112" s="23"/>
      <x:c r="I112" s="23"/>
      <x:c r="J112" s="23"/>
      <x:c r="K112" s="23"/>
      <x:c r="L112" s="23"/>
      <x:c r="M112" s="23"/>
      <x:c r="N112" s="23"/>
    </x:row>
    <x:row r="113" ht="15" hidden="0" customHeight="1">
      <x:c r="A113" s="21"/>
      <x:c r="B113" s="23"/>
      <x:c r="C113" s="23"/>
      <x:c r="D113" s="23"/>
      <x:c r="E113" s="23"/>
      <x:c r="F113" s="23"/>
      <x:c r="G113" s="23"/>
      <x:c r="H113" s="23"/>
      <x:c r="I113" s="23"/>
      <x:c r="J113" s="23"/>
      <x:c r="K113" s="23"/>
      <x:c r="L113" s="23"/>
      <x:c r="M113" s="23"/>
      <x:c r="N113" s="23"/>
    </x:row>
    <x:row r="114" ht="15" hidden="0" customHeight="1">
      <x:c r="A114" s="21"/>
      <x:c r="B114" s="23"/>
      <x:c r="C114" s="23"/>
      <x:c r="D114" s="23"/>
      <x:c r="E114" s="23"/>
      <x:c r="F114" s="23"/>
      <x:c r="G114" s="23"/>
      <x:c r="H114" s="23"/>
      <x:c r="I114" s="23"/>
      <x:c r="J114" s="23"/>
      <x:c r="K114" s="23"/>
      <x:c r="L114" s="23"/>
      <x:c r="M114" s="23"/>
      <x:c r="N114" s="23"/>
    </x:row>
    <x:row r="115" ht="15" hidden="0" customHeight="1">
      <x:c r="A115" s="21"/>
      <x:c r="B115" s="23"/>
      <x:c r="C115" s="23"/>
      <x:c r="D115" s="23"/>
      <x:c r="E115" s="23"/>
      <x:c r="F115" s="23"/>
      <x:c r="G115" s="23"/>
      <x:c r="H115" s="23"/>
      <x:c r="I115" s="23"/>
      <x:c r="J115" s="23"/>
      <x:c r="K115" s="23"/>
      <x:c r="L115" s="23"/>
      <x:c r="M115" s="23"/>
      <x:c r="N115" s="23"/>
    </x:row>
    <x:row r="116" ht="15" hidden="0" customHeight="1">
      <x:c r="A116" s="21"/>
      <x:c r="B116" s="23"/>
      <x:c r="C116" s="23"/>
      <x:c r="D116" s="23"/>
      <x:c r="E116" s="23"/>
      <x:c r="F116" s="23"/>
      <x:c r="G116" s="23"/>
      <x:c r="H116" s="23"/>
      <x:c r="I116" s="23"/>
      <x:c r="J116" s="23"/>
      <x:c r="K116" s="23"/>
      <x:c r="L116" s="23"/>
      <x:c r="M116" s="23"/>
      <x:c r="N116" s="23"/>
    </x:row>
    <x:row r="117" ht="15" hidden="0" customHeight="1">
      <x:c r="A117" s="21"/>
      <x:c r="B117" s="23"/>
      <x:c r="C117" s="23"/>
      <x:c r="D117" s="23"/>
      <x:c r="E117" s="23"/>
      <x:c r="F117" s="23"/>
      <x:c r="G117" s="23"/>
      <x:c r="H117" s="23"/>
      <x:c r="I117" s="23"/>
      <x:c r="J117" s="23"/>
      <x:c r="K117" s="23"/>
      <x:c r="L117" s="23"/>
      <x:c r="M117" s="23"/>
      <x:c r="N117" s="23"/>
    </x:row>
    <x:row r="118" ht="15" hidden="0" customHeight="1">
      <x:c r="A118" s="21"/>
      <x:c r="B118" s="23"/>
      <x:c r="C118" s="23"/>
      <x:c r="D118" s="23"/>
      <x:c r="E118" s="23"/>
      <x:c r="F118" s="23"/>
      <x:c r="G118" s="23"/>
      <x:c r="H118" s="23"/>
      <x:c r="I118" s="23"/>
      <x:c r="J118" s="23"/>
      <x:c r="K118" s="23"/>
      <x:c r="L118" s="23"/>
      <x:c r="M118" s="23"/>
      <x:c r="N118" s="23"/>
    </x:row>
    <x:row r="119" ht="15" hidden="0" customHeight="1">
      <x:c r="A119" s="21"/>
      <x:c r="B119" s="23"/>
      <x:c r="C119" s="23"/>
      <x:c r="D119" s="23"/>
      <x:c r="E119" s="23"/>
      <x:c r="F119" s="23"/>
      <x:c r="G119" s="23"/>
      <x:c r="H119" s="23"/>
      <x:c r="I119" s="23"/>
      <x:c r="J119" s="23"/>
      <x:c r="K119" s="23"/>
      <x:c r="L119" s="23"/>
      <x:c r="M119" s="23"/>
      <x:c r="N119" s="23"/>
    </x:row>
    <x:row r="120" ht="15" hidden="0" customHeight="1">
      <x:c r="A120" s="21"/>
      <x:c r="B120" s="23"/>
      <x:c r="C120" s="23"/>
      <x:c r="D120" s="23"/>
      <x:c r="E120" s="23"/>
      <x:c r="F120" s="23"/>
      <x:c r="G120" s="23"/>
      <x:c r="H120" s="23"/>
      <x:c r="I120" s="23"/>
      <x:c r="J120" s="23"/>
      <x:c r="K120" s="23"/>
      <x:c r="L120" s="23"/>
      <x:c r="M120" s="23"/>
      <x:c r="N120" s="23"/>
    </x:row>
  </x:sheetData>
  <x:mergeCells>
    <x:mergeCell ref="B37:M37"/>
    <x:mergeCell ref="B38:M38"/>
    <x:mergeCell ref="B39:M39"/>
    <x:mergeCell ref="B40:M40"/>
    <x:mergeCell ref="B41:M41"/>
    <x:mergeCell ref="B42:M42"/>
    <x:mergeCell ref="A36:M36"/>
  </x:mergeCells>
  <x:pageMargins left="0.7" right="0.7" top="0.75" bottom="0.75" header="0.3" footer="0.3"/>
</x:worksheet>
</file>